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覽" sheetId="1" state="visible" r:id="rId3"/>
    <sheet name="A_詞彙" sheetId="2" state="visible" r:id="rId4"/>
    <sheet name="B_音韻區辨" sheetId="3" state="visible" r:id="rId5"/>
    <sheet name="C_句子理解" sheetId="4" state="visible" r:id="rId6"/>
    <sheet name="詞表分析" sheetId="5" state="visible" r:id="rId7"/>
    <sheet name="最小對比詞" sheetId="6" state="visible" r:id="rId8"/>
    <sheet name="作答紀錄欄位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<sst xmlns="http://schemas.openxmlformats.org/spreadsheetml/2006/main" count="1389" uniqueCount="566">
  <si>
    <r>
      <rPr>
        <b val="true"/>
        <sz val="14"/>
        <rFont val="Arial"/>
        <family val="0"/>
        <charset val="1"/>
      </rPr>
      <t xml:space="preserve">Phonics </t>
    </r>
    <r>
      <rPr>
        <b val="true"/>
        <sz val="14"/>
        <rFont val="Noto Sans CJK SC"/>
        <family val="2"/>
      </rPr>
      <t xml:space="preserve">入門門檻測驗：題目藍圖（依前四週 </t>
    </r>
    <r>
      <rPr>
        <b val="true"/>
        <sz val="14"/>
        <rFont val="Arial"/>
        <family val="0"/>
        <charset val="1"/>
      </rPr>
      <t xml:space="preserve">Stage 1–3 </t>
    </r>
    <r>
      <rPr>
        <b val="true"/>
        <sz val="14"/>
        <rFont val="Noto Sans CJK SC"/>
        <family val="2"/>
      </rPr>
      <t xml:space="preserve">複習詞表）</t>
    </r>
  </si>
  <si>
    <t xml:space="preserve">黃色儲存格為暫定門檻，是起始假設而非實證數字，需用現場資料校準後修改。</t>
  </si>
  <si>
    <t xml:space="preserve">分測驗</t>
  </si>
  <si>
    <t xml:space="preserve">作答方式</t>
  </si>
  <si>
    <t xml:space="preserve">題數</t>
  </si>
  <si>
    <t xml:space="preserve">每題秒數（估）</t>
  </si>
  <si>
    <t xml:space="preserve">時間（分）</t>
  </si>
  <si>
    <t xml:space="preserve">通過門檻（比例）</t>
  </si>
  <si>
    <t xml:space="preserve">通過所需題數</t>
  </si>
  <si>
    <t xml:space="preserve">門檻依據</t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</si>
  <si>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詞彙：第一階段詞</t>
    </r>
  </si>
  <si>
    <t xml:space="preserve">聽單字，四圖選一</t>
  </si>
  <si>
    <r>
      <rPr>
        <sz val="11"/>
        <rFont val="Noto Sans CJK SC"/>
        <family val="2"/>
      </rPr>
      <t xml:space="preserve">暫定；四選一猜中率 </t>
    </r>
    <r>
      <rPr>
        <sz val="11"/>
        <rFont val="Arial"/>
        <family val="0"/>
        <charset val="1"/>
      </rPr>
      <t xml:space="preserve">25%</t>
    </r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</si>
  <si>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詞彙：對照詞</t>
    </r>
  </si>
  <si>
    <r>
      <rPr>
        <sz val="11"/>
        <rFont val="Noto Sans CJK SC"/>
        <family val="2"/>
      </rPr>
      <t xml:space="preserve">暫定；用來確認孩子理解作答方式、有基本 </t>
    </r>
    <r>
      <rPr>
        <sz val="11"/>
        <rFont val="Arial"/>
        <family val="0"/>
        <charset val="1"/>
      </rPr>
      <t xml:space="preserve">DWE </t>
    </r>
    <r>
      <rPr>
        <sz val="11"/>
        <rFont val="Noto Sans CJK SC"/>
        <family val="2"/>
      </rPr>
      <t xml:space="preserve">詞彙</t>
    </r>
  </si>
  <si>
    <r>
      <rPr>
        <sz val="11"/>
        <rFont val="Arial"/>
        <family val="0"/>
        <charset val="1"/>
      </rPr>
      <t xml:space="preserve">B </t>
    </r>
    <r>
      <rPr>
        <sz val="11"/>
        <rFont val="Noto Sans CJK SC"/>
        <family val="2"/>
      </rPr>
      <t xml:space="preserve">音韻區辨：「不同」題</t>
    </r>
  </si>
  <si>
    <t xml:space="preserve">聽兩個詞，判斷一樣或不一樣</t>
  </si>
  <si>
    <t xml:space="preserve">暫定；需與「相同」題同時達標</t>
  </si>
  <si>
    <r>
      <rPr>
        <sz val="11"/>
        <rFont val="Arial"/>
        <family val="0"/>
        <charset val="1"/>
      </rPr>
      <t xml:space="preserve">B </t>
    </r>
    <r>
      <rPr>
        <sz val="11"/>
        <rFont val="Noto Sans CJK SC"/>
        <family val="2"/>
      </rPr>
      <t xml:space="preserve">音韻區辨：「相同」題</t>
    </r>
  </si>
  <si>
    <t xml:space="preserve">暫定；防止一律答「不同」</t>
  </si>
  <si>
    <r>
      <rPr>
        <sz val="11"/>
        <rFont val="Arial"/>
        <family val="0"/>
        <charset val="1"/>
      </rPr>
      <t xml:space="preserve">C </t>
    </r>
    <r>
      <rPr>
        <sz val="11"/>
        <rFont val="Noto Sans CJK SC"/>
        <family val="2"/>
      </rPr>
      <t xml:space="preserve">句子理解</t>
    </r>
  </si>
  <si>
    <t xml:space="preserve">聽句子，四圖選一</t>
  </si>
  <si>
    <t xml:space="preserve">暫定</t>
  </si>
  <si>
    <t xml:space="preserve">合計</t>
  </si>
  <si>
    <r>
      <rPr>
        <sz val="11"/>
        <rFont val="Noto Sans CJK SC"/>
        <family val="2"/>
      </rPr>
      <t xml:space="preserve">不含練習題與語音指示，實際施測約再加 </t>
    </r>
    <r>
      <rPr>
        <sz val="11"/>
        <rFont val="Arial"/>
        <family val="0"/>
        <charset val="1"/>
      </rPr>
      <t xml:space="preserve">2 </t>
    </r>
    <r>
      <rPr>
        <sz val="11"/>
        <rFont val="Noto Sans CJK SC"/>
        <family val="2"/>
      </rPr>
      <t xml:space="preserve">分鐘</t>
    </r>
  </si>
  <si>
    <t xml:space="preserve">結果判讀</t>
  </si>
  <si>
    <t xml:space="preserve">結果型態</t>
  </si>
  <si>
    <t xml:space="preserve">解讀</t>
  </si>
  <si>
    <t xml:space="preserve">建議處置</t>
  </si>
  <si>
    <t xml:space="preserve">對照詞未達標</t>
  </si>
  <si>
    <t xml:space="preserve">一般口語詞彙不足，或孩子不理解作答方式；結果不採計</t>
  </si>
  <si>
    <t xml:space="preserve">繼續累積輸入，之後重測</t>
  </si>
  <si>
    <t xml:space="preserve">對照詞達標；第一階段詞未達標，錯誤多為音近干擾</t>
  </si>
  <si>
    <t xml:space="preserve">認得長詞但分不清短詞，詞彙表徵仍是整體輪廓</t>
  </si>
  <si>
    <r>
      <rPr>
        <sz val="11"/>
        <rFont val="Noto Sans CJK SC"/>
        <family val="2"/>
      </rPr>
      <t xml:space="preserve">先做最小對比詞的聽辨與口語活動，再進 </t>
    </r>
    <r>
      <rPr>
        <sz val="11"/>
        <rFont val="Arial"/>
        <family val="0"/>
        <charset val="1"/>
      </rPr>
      <t xml:space="preserve">Phonics</t>
    </r>
  </si>
  <si>
    <t xml:space="preserve">對照詞達標；第一階段詞未達標，錯誤多為義近或無關</t>
  </si>
  <si>
    <t xml:space="preserve">不認識這批詞</t>
  </si>
  <si>
    <t xml:space="preserve">各單元先用聽和圖預教目標詞，再進解碼</t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</si>
  <si>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達標；</t>
    </r>
    <r>
      <rPr>
        <sz val="11"/>
        <rFont val="Arial"/>
        <family val="0"/>
        <charset val="1"/>
      </rPr>
      <t xml:space="preserve">B </t>
    </r>
    <r>
      <rPr>
        <sz val="11"/>
        <rFont val="Noto Sans CJK SC"/>
        <family val="2"/>
      </rPr>
      <t xml:space="preserve">未達標</t>
    </r>
  </si>
  <si>
    <t xml:space="preserve">認得詞，但聽不出特定音的差別</t>
  </si>
  <si>
    <r>
      <rPr>
        <sz val="11"/>
        <rFont val="Noto Sans CJK SC"/>
        <family val="2"/>
      </rPr>
      <t xml:space="preserve">依未通過的對比類別做聽辨訓練；</t>
    </r>
    <r>
      <rPr>
        <sz val="11"/>
        <rFont val="Arial"/>
        <family val="0"/>
        <charset val="1"/>
      </rPr>
      <t xml:space="preserve">Phonics </t>
    </r>
    <r>
      <rPr>
        <sz val="11"/>
        <rFont val="Noto Sans CJK SC"/>
        <family val="2"/>
      </rPr>
      <t xml:space="preserve">可同步開始</t>
    </r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</si>
  <si>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B </t>
    </r>
    <r>
      <rPr>
        <sz val="11"/>
        <rFont val="Noto Sans CJK SC"/>
        <family val="2"/>
      </rPr>
      <t xml:space="preserve">達標；</t>
    </r>
    <r>
      <rPr>
        <sz val="11"/>
        <rFont val="Arial"/>
        <family val="0"/>
        <charset val="1"/>
      </rPr>
      <t xml:space="preserve">C </t>
    </r>
    <r>
      <rPr>
        <sz val="11"/>
        <rFont val="Noto Sans CJK SC"/>
        <family val="2"/>
      </rPr>
      <t xml:space="preserve">未達標</t>
    </r>
  </si>
  <si>
    <t xml:space="preserve">單詞層級足夠，句子理解不足</t>
  </si>
  <si>
    <r>
      <rPr>
        <sz val="11"/>
        <rFont val="Noto Sans CJK SC"/>
        <family val="2"/>
      </rPr>
      <t xml:space="preserve">可進 </t>
    </r>
    <r>
      <rPr>
        <sz val="11"/>
        <rFont val="Arial"/>
        <family val="0"/>
        <charset val="1"/>
      </rPr>
      <t xml:space="preserve">Phonics</t>
    </r>
    <r>
      <rPr>
        <sz val="11"/>
        <rFont val="Noto Sans CJK SC"/>
        <family val="2"/>
      </rPr>
      <t xml:space="preserve">，同時維持大量聽力輸入</t>
    </r>
  </si>
  <si>
    <t xml:space="preserve">全部達標</t>
  </si>
  <si>
    <t xml:space="preserve">達到入門門檻</t>
  </si>
  <si>
    <r>
      <rPr>
        <sz val="11"/>
        <rFont val="Noto Sans CJK SC"/>
        <family val="2"/>
      </rPr>
      <t xml:space="preserve">直接進 </t>
    </r>
    <r>
      <rPr>
        <sz val="11"/>
        <rFont val="Arial"/>
        <family val="0"/>
        <charset val="1"/>
      </rPr>
      <t xml:space="preserve">Phonics</t>
    </r>
  </si>
  <si>
    <t xml:space="preserve">詞表概況（前四週）</t>
  </si>
  <si>
    <t xml:space="preserve">單字總數</t>
  </si>
  <si>
    <t xml:space="preserve">圖像性高</t>
  </si>
  <si>
    <t xml:space="preserve">圖像性中</t>
  </si>
  <si>
    <t xml:space="preserve">圖像性低（不出詞彙題）</t>
  </si>
  <si>
    <t xml:space="preserve">表內最小對比詞組數</t>
  </si>
  <si>
    <t xml:space="preserve">至少有一個表內最小對比詞的單字數</t>
  </si>
  <si>
    <t xml:space="preserve">題號</t>
  </si>
  <si>
    <t xml:space="preserve">組別</t>
  </si>
  <si>
    <t xml:space="preserve">所屬週</t>
  </si>
  <si>
    <t xml:space="preserve">目標詞（播放）</t>
  </si>
  <si>
    <t xml:space="preserve">音近干擾</t>
  </si>
  <si>
    <t xml:space="preserve">對比位置</t>
  </si>
  <si>
    <t xml:space="preserve">對比音</t>
  </si>
  <si>
    <t xml:space="preserve">義近干擾</t>
  </si>
  <si>
    <t xml:space="preserve">無關干擾</t>
  </si>
  <si>
    <t xml:space="preserve">備註</t>
  </si>
  <si>
    <t xml:space="preserve">A01</t>
  </si>
  <si>
    <t xml:space="preserve">第一階段</t>
  </si>
  <si>
    <t xml:space="preserve">cat</t>
  </si>
  <si>
    <t xml:space="preserve">cut</t>
  </si>
  <si>
    <t xml:space="preserve">母音</t>
  </si>
  <si>
    <t xml:space="preserve">æ / ʌ</t>
  </si>
  <si>
    <t xml:space="preserve">dog</t>
  </si>
  <si>
    <t xml:space="preserve">sun</t>
  </si>
  <si>
    <t xml:space="preserve">A02</t>
  </si>
  <si>
    <t xml:space="preserve">pig</t>
  </si>
  <si>
    <t xml:space="preserve">pin</t>
  </si>
  <si>
    <t xml:space="preserve">字尾</t>
  </si>
  <si>
    <t xml:space="preserve">g / n</t>
  </si>
  <si>
    <t xml:space="preserve">duck</t>
  </si>
  <si>
    <t xml:space="preserve">bed</t>
  </si>
  <si>
    <t xml:space="preserve">A03</t>
  </si>
  <si>
    <t xml:space="preserve">hat</t>
  </si>
  <si>
    <t xml:space="preserve">hot</t>
  </si>
  <si>
    <t xml:space="preserve">æ / ɑ</t>
  </si>
  <si>
    <t xml:space="preserve">sock</t>
  </si>
  <si>
    <t xml:space="preserve">egg</t>
  </si>
  <si>
    <t xml:space="preserve">A04</t>
  </si>
  <si>
    <t xml:space="preserve">bat</t>
  </si>
  <si>
    <t xml:space="preserve">bag</t>
  </si>
  <si>
    <t xml:space="preserve">t / g</t>
  </si>
  <si>
    <t xml:space="preserve">ball</t>
  </si>
  <si>
    <t xml:space="preserve">nest</t>
  </si>
  <si>
    <r>
      <rPr>
        <sz val="11"/>
        <rFont val="Arial"/>
        <family val="0"/>
        <charset val="1"/>
      </rPr>
      <t xml:space="preserve">bat </t>
    </r>
    <r>
      <rPr>
        <sz val="11"/>
        <rFont val="Noto Sans CJK SC"/>
        <family val="2"/>
      </rPr>
      <t xml:space="preserve">的圖為球棒（詞義已確認與 </t>
    </r>
    <r>
      <rPr>
        <sz val="11"/>
        <rFont val="Arial"/>
        <family val="0"/>
        <charset val="1"/>
      </rPr>
      <t xml:space="preserve">DWE </t>
    </r>
    <r>
      <rPr>
        <sz val="11"/>
        <rFont val="Noto Sans CJK SC"/>
        <family val="2"/>
      </rPr>
      <t xml:space="preserve">相符）</t>
    </r>
  </si>
  <si>
    <t xml:space="preserve">A05</t>
  </si>
  <si>
    <t xml:space="preserve">shed</t>
  </si>
  <si>
    <t xml:space="preserve">字首</t>
  </si>
  <si>
    <t xml:space="preserve">b / ʃ</t>
  </si>
  <si>
    <t xml:space="preserve">pillow</t>
  </si>
  <si>
    <t xml:space="preserve">frog</t>
  </si>
  <si>
    <t xml:space="preserve">A06</t>
  </si>
  <si>
    <t xml:space="preserve">pan</t>
  </si>
  <si>
    <t xml:space="preserve">ɪ / æ</t>
  </si>
  <si>
    <t xml:space="preserve">nail</t>
  </si>
  <si>
    <t xml:space="preserve">cow</t>
  </si>
  <si>
    <t xml:space="preserve">A07</t>
  </si>
  <si>
    <t xml:space="preserve">leg</t>
  </si>
  <si>
    <t xml:space="preserve">log</t>
  </si>
  <si>
    <t xml:space="preserve">ɛ / ɔ</t>
  </si>
  <si>
    <t xml:space="preserve">hand</t>
  </si>
  <si>
    <t xml:space="preserve">bus</t>
  </si>
  <si>
    <t xml:space="preserve">A08</t>
  </si>
  <si>
    <t xml:space="preserve">man</t>
  </si>
  <si>
    <t xml:space="preserve">mat</t>
  </si>
  <si>
    <t xml:space="preserve">n / t</t>
  </si>
  <si>
    <t xml:space="preserve">boy</t>
  </si>
  <si>
    <t xml:space="preserve">clock</t>
  </si>
  <si>
    <t xml:space="preserve">A09</t>
  </si>
  <si>
    <t xml:space="preserve">run</t>
  </si>
  <si>
    <t xml:space="preserve">s / r</t>
  </si>
  <si>
    <t xml:space="preserve">moon</t>
  </si>
  <si>
    <t xml:space="preserve">desk</t>
  </si>
  <si>
    <t xml:space="preserve">A10</t>
  </si>
  <si>
    <t xml:space="preserve">king</t>
  </si>
  <si>
    <t xml:space="preserve">ring</t>
  </si>
  <si>
    <t xml:space="preserve">k / r</t>
  </si>
  <si>
    <t xml:space="preserve">fish</t>
  </si>
  <si>
    <t xml:space="preserve">A11</t>
  </si>
  <si>
    <t xml:space="preserve">韻腳相同</t>
  </si>
  <si>
    <t xml:space="preserve">∅ / l</t>
  </si>
  <si>
    <t xml:space="preserve">milk</t>
  </si>
  <si>
    <t xml:space="preserve">drum</t>
  </si>
  <si>
    <t xml:space="preserve">非最小對比：多一個字首子音</t>
  </si>
  <si>
    <t xml:space="preserve">A12</t>
  </si>
  <si>
    <t xml:space="preserve">sit</t>
  </si>
  <si>
    <t xml:space="preserve">sing</t>
  </si>
  <si>
    <t xml:space="preserve">t / ŋ</t>
  </si>
  <si>
    <t xml:space="preserve">stand</t>
  </si>
  <si>
    <t xml:space="preserve">box</t>
  </si>
  <si>
    <t xml:space="preserve">A13</t>
  </si>
  <si>
    <t xml:space="preserve">glass</t>
  </si>
  <si>
    <t xml:space="preserve">grass</t>
  </si>
  <si>
    <t xml:space="preserve">子音叢</t>
  </si>
  <si>
    <t xml:space="preserve">l / r</t>
  </si>
  <si>
    <t xml:space="preserve">cup</t>
  </si>
  <si>
    <t xml:space="preserve">dress</t>
  </si>
  <si>
    <t xml:space="preserve">A14</t>
  </si>
  <si>
    <t xml:space="preserve">band</t>
  </si>
  <si>
    <t xml:space="preserve">h / b</t>
  </si>
  <si>
    <t xml:space="preserve">foot</t>
  </si>
  <si>
    <t xml:space="preserve">tent</t>
  </si>
  <si>
    <r>
      <rPr>
        <sz val="11"/>
        <rFont val="Arial"/>
        <family val="0"/>
        <charset val="1"/>
      </rPr>
      <t xml:space="preserve">band </t>
    </r>
    <r>
      <rPr>
        <sz val="11"/>
        <rFont val="Noto Sans CJK SC"/>
        <family val="2"/>
      </rPr>
      <t xml:space="preserve">的圖為樂團（詞義已確認與 </t>
    </r>
    <r>
      <rPr>
        <sz val="11"/>
        <rFont val="Arial"/>
        <family val="0"/>
        <charset val="1"/>
      </rPr>
      <t xml:space="preserve">DWE </t>
    </r>
    <r>
      <rPr>
        <sz val="11"/>
        <rFont val="Noto Sans CJK SC"/>
        <family val="2"/>
      </rPr>
      <t xml:space="preserve">相符）</t>
    </r>
  </si>
  <si>
    <t xml:space="preserve">A15</t>
  </si>
  <si>
    <t xml:space="preserve">swing</t>
  </si>
  <si>
    <t xml:space="preserve">swim</t>
  </si>
  <si>
    <t xml:space="preserve">ŋ / m</t>
  </si>
  <si>
    <t xml:space="preserve">sled</t>
  </si>
  <si>
    <t xml:space="preserve">A16</t>
  </si>
  <si>
    <t xml:space="preserve">fr / l</t>
  </si>
  <si>
    <r>
      <rPr>
        <sz val="11"/>
        <rFont val="Noto Sans CJK SC"/>
        <family val="2"/>
      </rPr>
      <t xml:space="preserve">非最小對比：子音叢 </t>
    </r>
    <r>
      <rPr>
        <sz val="11"/>
        <rFont val="Arial"/>
        <family val="0"/>
        <charset val="1"/>
      </rPr>
      <t xml:space="preserve">vs </t>
    </r>
    <r>
      <rPr>
        <sz val="11"/>
        <rFont val="Noto Sans CJK SC"/>
        <family val="2"/>
      </rPr>
      <t xml:space="preserve">單子音</t>
    </r>
  </si>
  <si>
    <t xml:space="preserve">A17</t>
  </si>
  <si>
    <t xml:space="preserve">neck</t>
  </si>
  <si>
    <t xml:space="preserve">st / k</t>
  </si>
  <si>
    <t xml:space="preserve">bird</t>
  </si>
  <si>
    <t xml:space="preserve">非最小對比：字尾子音叢</t>
  </si>
  <si>
    <t xml:space="preserve">A18</t>
  </si>
  <si>
    <t xml:space="preserve">string</t>
  </si>
  <si>
    <t xml:space="preserve">strong</t>
  </si>
  <si>
    <t xml:space="preserve">ɪ / ɔ</t>
  </si>
  <si>
    <t xml:space="preserve">rope</t>
  </si>
  <si>
    <t xml:space="preserve">A19</t>
  </si>
  <si>
    <t xml:space="preserve">shell</t>
  </si>
  <si>
    <t xml:space="preserve">well</t>
  </si>
  <si>
    <t xml:space="preserve">ʃ / w</t>
  </si>
  <si>
    <t xml:space="preserve">plant</t>
  </si>
  <si>
    <r>
      <rPr>
        <sz val="11"/>
        <rFont val="Arial"/>
        <family val="0"/>
        <charset val="1"/>
      </rPr>
      <t xml:space="preserve">well </t>
    </r>
    <r>
      <rPr>
        <sz val="11"/>
        <rFont val="Noto Sans CJK SC"/>
        <family val="2"/>
      </rPr>
      <t xml:space="preserve">的圖為水井（詞義已確認與 </t>
    </r>
    <r>
      <rPr>
        <sz val="11"/>
        <rFont val="Arial"/>
        <family val="0"/>
        <charset val="1"/>
      </rPr>
      <t xml:space="preserve">DWE </t>
    </r>
    <r>
      <rPr>
        <sz val="11"/>
        <rFont val="Noto Sans CJK SC"/>
        <family val="2"/>
      </rPr>
      <t xml:space="preserve">相符）</t>
    </r>
  </si>
  <si>
    <t xml:space="preserve">A20</t>
  </si>
  <si>
    <t xml:space="preserve">sick</t>
  </si>
  <si>
    <t xml:space="preserve">ɑ / ɪ</t>
  </si>
  <si>
    <t xml:space="preserve">shoe</t>
  </si>
  <si>
    <t xml:space="preserve">A21</t>
  </si>
  <si>
    <t xml:space="preserve">lock</t>
  </si>
  <si>
    <t xml:space="preserve">l / kl</t>
  </si>
  <si>
    <t xml:space="preserve">key</t>
  </si>
  <si>
    <t xml:space="preserve">A22</t>
  </si>
  <si>
    <t xml:space="preserve">brush</t>
  </si>
  <si>
    <t xml:space="preserve">branch</t>
  </si>
  <si>
    <t xml:space="preserve">字首相同</t>
  </si>
  <si>
    <t xml:space="preserve">ʌʃ / æntʃ</t>
  </si>
  <si>
    <t xml:space="preserve">soap</t>
  </si>
  <si>
    <r>
      <rPr>
        <sz val="11"/>
        <rFont val="Noto Sans CJK SC"/>
        <family val="2"/>
      </rPr>
      <t xml:space="preserve">非最小對比：共用字首 </t>
    </r>
    <r>
      <rPr>
        <sz val="11"/>
        <rFont val="Arial"/>
        <family val="0"/>
        <charset val="1"/>
      </rPr>
      <t xml:space="preserve">br-</t>
    </r>
  </si>
  <si>
    <t xml:space="preserve">A23</t>
  </si>
  <si>
    <t xml:space="preserve">track</t>
  </si>
  <si>
    <t xml:space="preserve">crack</t>
  </si>
  <si>
    <t xml:space="preserve">tr / kr</t>
  </si>
  <si>
    <t xml:space="preserve">train</t>
  </si>
  <si>
    <r>
      <rPr>
        <sz val="11"/>
        <rFont val="Arial"/>
        <family val="0"/>
        <charset val="1"/>
      </rPr>
      <t xml:space="preserve">track </t>
    </r>
    <r>
      <rPr>
        <sz val="11"/>
        <rFont val="Noto Sans CJK SC"/>
        <family val="2"/>
      </rPr>
      <t xml:space="preserve">的圖為鐵軌（詞義已確認與 </t>
    </r>
    <r>
      <rPr>
        <sz val="11"/>
        <rFont val="Arial"/>
        <family val="0"/>
        <charset val="1"/>
      </rPr>
      <t xml:space="preserve">DWE </t>
    </r>
    <r>
      <rPr>
        <sz val="11"/>
        <rFont val="Noto Sans CJK SC"/>
        <family val="2"/>
      </rPr>
      <t xml:space="preserve">相符）</t>
    </r>
  </si>
  <si>
    <t xml:space="preserve">A24</t>
  </si>
  <si>
    <t xml:space="preserve">chin</t>
  </si>
  <si>
    <t xml:space="preserve">thin</t>
  </si>
  <si>
    <t xml:space="preserve">tʃ / θ</t>
  </si>
  <si>
    <r>
      <rPr>
        <sz val="11"/>
        <rFont val="Arial"/>
        <family val="0"/>
        <charset val="1"/>
      </rPr>
      <t xml:space="preserve">thin </t>
    </r>
    <r>
      <rPr>
        <sz val="11"/>
        <rFont val="Noto Sans CJK SC"/>
        <family val="2"/>
      </rPr>
      <t xml:space="preserve">的圖為瘦的人</t>
    </r>
  </si>
  <si>
    <t xml:space="preserve">A25</t>
  </si>
  <si>
    <t xml:space="preserve">對照（後段多音節）</t>
  </si>
  <si>
    <t xml:space="preserve">elephant</t>
  </si>
  <si>
    <t xml:space="preserve">（無）</t>
  </si>
  <si>
    <t xml:space="preserve">—</t>
  </si>
  <si>
    <t xml:space="preserve">giraffe</t>
  </si>
  <si>
    <t xml:space="preserve">tomato / piano</t>
  </si>
  <si>
    <t xml:space="preserve">對照題無音近干擾，改為兩個無關詞</t>
  </si>
  <si>
    <t xml:space="preserve">A26</t>
  </si>
  <si>
    <t xml:space="preserve">banana</t>
  </si>
  <si>
    <t xml:space="preserve">orange</t>
  </si>
  <si>
    <t xml:space="preserve">zebra / pillow</t>
  </si>
  <si>
    <t xml:space="preserve">A27</t>
  </si>
  <si>
    <t xml:space="preserve">umbrella</t>
  </si>
  <si>
    <t xml:space="preserve">jacket</t>
  </si>
  <si>
    <t xml:space="preserve">lemon / tiger</t>
  </si>
  <si>
    <t xml:space="preserve">A28</t>
  </si>
  <si>
    <t xml:space="preserve">butterfly</t>
  </si>
  <si>
    <t xml:space="preserve">bee</t>
  </si>
  <si>
    <t xml:space="preserve">bottle / ladder</t>
  </si>
  <si>
    <t xml:space="preserve">A29</t>
  </si>
  <si>
    <t xml:space="preserve">rabbit</t>
  </si>
  <si>
    <t xml:space="preserve">kitten</t>
  </si>
  <si>
    <t xml:space="preserve">candle / sweater</t>
  </si>
  <si>
    <t xml:space="preserve">A30</t>
  </si>
  <si>
    <t xml:space="preserve">apple</t>
  </si>
  <si>
    <t xml:space="preserve">cherry</t>
  </si>
  <si>
    <t xml:space="preserve">turtle / mirror</t>
  </si>
  <si>
    <t xml:space="preserve">A31</t>
  </si>
  <si>
    <t xml:space="preserve">window</t>
  </si>
  <si>
    <t xml:space="preserve">door</t>
  </si>
  <si>
    <t xml:space="preserve">spoon / rooster</t>
  </si>
  <si>
    <t xml:space="preserve">A32</t>
  </si>
  <si>
    <t xml:space="preserve">monkey</t>
  </si>
  <si>
    <t xml:space="preserve">kangaroo</t>
  </si>
  <si>
    <t xml:space="preserve">basket / flower</t>
  </si>
  <si>
    <t xml:space="preserve">正解</t>
  </si>
  <si>
    <r>
      <rPr>
        <b val="true"/>
        <sz val="11"/>
        <color rgb="FFFFFFFF"/>
        <rFont val="Noto Sans CJK SC"/>
        <family val="2"/>
      </rPr>
      <t xml:space="preserve">詞 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</si>
  <si>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詞 </t>
    </r>
    <r>
      <rPr>
        <b val="true"/>
        <sz val="11"/>
        <color rgb="FFFFFFFF"/>
        <rFont val="Arial"/>
        <family val="0"/>
        <charset val="1"/>
      </rPr>
      <t xml:space="preserve">2</t>
    </r>
  </si>
  <si>
    <t xml:space="preserve">對比類別</t>
  </si>
  <si>
    <t xml:space="preserve">表外詞</t>
  </si>
  <si>
    <t xml:space="preserve">B01</t>
  </si>
  <si>
    <t xml:space="preserve">不同</t>
  </si>
  <si>
    <t xml:space="preserve">B02</t>
  </si>
  <si>
    <t xml:space="preserve">B03</t>
  </si>
  <si>
    <t xml:space="preserve">B04</t>
  </si>
  <si>
    <t xml:space="preserve">B05</t>
  </si>
  <si>
    <t xml:space="preserve">bad</t>
  </si>
  <si>
    <t xml:space="preserve">ɛ / æ</t>
  </si>
  <si>
    <r>
      <rPr>
        <sz val="11"/>
        <rFont val="Noto Sans CJK SC"/>
        <family val="2"/>
      </rPr>
      <t xml:space="preserve">是：</t>
    </r>
    <r>
      <rPr>
        <sz val="11"/>
        <rFont val="Arial"/>
        <family val="0"/>
        <charset val="1"/>
      </rPr>
      <t xml:space="preserve">bad</t>
    </r>
  </si>
  <si>
    <t xml:space="preserve">B06</t>
  </si>
  <si>
    <t xml:space="preserve">men</t>
  </si>
  <si>
    <t xml:space="preserve">æ / ɛ</t>
  </si>
  <si>
    <r>
      <rPr>
        <sz val="11"/>
        <rFont val="Noto Sans CJK SC"/>
        <family val="2"/>
      </rPr>
      <t xml:space="preserve">是：</t>
    </r>
    <r>
      <rPr>
        <sz val="11"/>
        <rFont val="Arial"/>
        <family val="0"/>
        <charset val="1"/>
      </rPr>
      <t xml:space="preserve">men</t>
    </r>
  </si>
  <si>
    <t xml:space="preserve">B07</t>
  </si>
  <si>
    <r>
      <rPr>
        <sz val="11"/>
        <rFont val="Arial"/>
        <family val="0"/>
        <charset val="1"/>
      </rPr>
      <t xml:space="preserve">p / t</t>
    </r>
    <r>
      <rPr>
        <sz val="11"/>
        <rFont val="Noto Sans CJK SC"/>
        <family val="2"/>
      </rPr>
      <t xml:space="preserve">（部位）</t>
    </r>
  </si>
  <si>
    <t xml:space="preserve">B08</t>
  </si>
  <si>
    <r>
      <rPr>
        <sz val="11"/>
        <rFont val="Arial"/>
        <family val="0"/>
        <charset val="1"/>
      </rPr>
      <t xml:space="preserve">t / g</t>
    </r>
    <r>
      <rPr>
        <sz val="11"/>
        <rFont val="Noto Sans CJK SC"/>
        <family val="2"/>
      </rPr>
      <t xml:space="preserve">（部位）</t>
    </r>
  </si>
  <si>
    <t xml:space="preserve">B09</t>
  </si>
  <si>
    <t xml:space="preserve">pick</t>
  </si>
  <si>
    <r>
      <rPr>
        <sz val="11"/>
        <rFont val="Arial"/>
        <family val="0"/>
        <charset val="1"/>
      </rPr>
      <t xml:space="preserve">g / k</t>
    </r>
    <r>
      <rPr>
        <sz val="11"/>
        <rFont val="Noto Sans CJK SC"/>
        <family val="2"/>
      </rPr>
      <t xml:space="preserve">（清濁）</t>
    </r>
  </si>
  <si>
    <t xml:space="preserve">B10</t>
  </si>
  <si>
    <t xml:space="preserve">mad</t>
  </si>
  <si>
    <r>
      <rPr>
        <sz val="11"/>
        <rFont val="Arial"/>
        <family val="0"/>
        <charset val="1"/>
      </rPr>
      <t xml:space="preserve">t / d</t>
    </r>
    <r>
      <rPr>
        <sz val="11"/>
        <rFont val="Noto Sans CJK SC"/>
        <family val="2"/>
      </rPr>
      <t xml:space="preserve">（清濁）</t>
    </r>
  </si>
  <si>
    <r>
      <rPr>
        <sz val="11"/>
        <rFont val="Noto Sans CJK SC"/>
        <family val="2"/>
      </rPr>
      <t xml:space="preserve">是：</t>
    </r>
    <r>
      <rPr>
        <sz val="11"/>
        <rFont val="Arial"/>
        <family val="0"/>
        <charset val="1"/>
      </rPr>
      <t xml:space="preserve">mad</t>
    </r>
  </si>
  <si>
    <t xml:space="preserve">B11</t>
  </si>
  <si>
    <r>
      <rPr>
        <sz val="11"/>
        <rFont val="Arial"/>
        <family val="0"/>
        <charset val="1"/>
      </rPr>
      <t xml:space="preserve">m / ŋ</t>
    </r>
    <r>
      <rPr>
        <sz val="11"/>
        <rFont val="Noto Sans CJK SC"/>
        <family val="2"/>
      </rPr>
      <t xml:space="preserve">（鼻音）</t>
    </r>
  </si>
  <si>
    <t xml:space="preserve">B12</t>
  </si>
  <si>
    <t xml:space="preserve">thing</t>
  </si>
  <si>
    <r>
      <rPr>
        <sz val="11"/>
        <rFont val="Arial"/>
        <family val="0"/>
        <charset val="1"/>
      </rPr>
      <t xml:space="preserve">n / ŋ</t>
    </r>
    <r>
      <rPr>
        <sz val="11"/>
        <rFont val="Noto Sans CJK SC"/>
        <family val="2"/>
      </rPr>
      <t xml:space="preserve">（鼻音）</t>
    </r>
  </si>
  <si>
    <r>
      <rPr>
        <sz val="11"/>
        <rFont val="Noto Sans CJK SC"/>
        <family val="2"/>
      </rPr>
      <t xml:space="preserve">是：</t>
    </r>
    <r>
      <rPr>
        <sz val="11"/>
        <rFont val="Arial"/>
        <family val="0"/>
        <charset val="1"/>
      </rPr>
      <t xml:space="preserve">thing</t>
    </r>
  </si>
  <si>
    <t xml:space="preserve">B13</t>
  </si>
  <si>
    <t xml:space="preserve">sell</t>
  </si>
  <si>
    <t xml:space="preserve">s / ʃ</t>
  </si>
  <si>
    <t xml:space="preserve">B14</t>
  </si>
  <si>
    <t xml:space="preserve">think</t>
  </si>
  <si>
    <t xml:space="preserve">sink</t>
  </si>
  <si>
    <t xml:space="preserve">θ / s</t>
  </si>
  <si>
    <r>
      <rPr>
        <sz val="11"/>
        <rFont val="Noto Sans CJK SC"/>
        <family val="2"/>
      </rPr>
      <t xml:space="preserve">是：</t>
    </r>
    <r>
      <rPr>
        <sz val="11"/>
        <rFont val="Arial"/>
        <family val="0"/>
        <charset val="1"/>
      </rPr>
      <t xml:space="preserve">sink</t>
    </r>
  </si>
  <si>
    <t xml:space="preserve">B15</t>
  </si>
  <si>
    <t xml:space="preserve">B16</t>
  </si>
  <si>
    <t xml:space="preserve">kr / tr</t>
  </si>
  <si>
    <t xml:space="preserve">B17</t>
  </si>
  <si>
    <t xml:space="preserve">相同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</si>
  <si>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</si>
  <si>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</si>
  <si>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</si>
  <si>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</si>
  <si>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</si>
  <si>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</si>
  <si>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B24</t>
  </si>
  <si>
    <t xml:space="preserve">說明</t>
  </si>
  <si>
    <t xml:space="preserve">題號為題庫編號，施測時隨機排序，「相同」與「不同」穿插。</t>
  </si>
  <si>
    <t xml:space="preserve">「相同」題請用同一個詞的兩次不同錄音，避免孩子靠聲學上完全一致來判斷。</t>
  </si>
  <si>
    <t xml:space="preserve">表外詞只用於聽辨，不需要圖片，也不要求孩子認識該詞。</t>
  </si>
  <si>
    <r>
      <rPr>
        <sz val="11"/>
        <rFont val="Arial"/>
        <family val="0"/>
        <charset val="1"/>
      </rPr>
      <t xml:space="preserve">ɛ/æ</t>
    </r>
    <r>
      <rPr>
        <sz val="11"/>
        <rFont val="Noto Sans CJK SC"/>
        <family val="2"/>
      </rPr>
      <t xml:space="preserve">、字尾 </t>
    </r>
    <r>
      <rPr>
        <sz val="11"/>
        <rFont val="Arial"/>
        <family val="0"/>
        <charset val="1"/>
      </rPr>
      <t xml:space="preserve">n/ŋ</t>
    </r>
    <r>
      <rPr>
        <sz val="11"/>
        <rFont val="Noto Sans CJK SC"/>
        <family val="2"/>
      </rPr>
      <t xml:space="preserve">、字尾清濁在前四週詞表內沒有最小對比詞，因此借用表外詞。</t>
    </r>
  </si>
  <si>
    <t xml:space="preserve">層級</t>
  </si>
  <si>
    <t xml:space="preserve">句子（播放）</t>
  </si>
  <si>
    <t xml:space="preserve">正解圖</t>
  </si>
  <si>
    <r>
      <rPr>
        <b val="true"/>
        <sz val="11"/>
        <color rgb="FFFFFFFF"/>
        <rFont val="Noto Sans CJK SC"/>
        <family val="2"/>
      </rPr>
      <t xml:space="preserve">干擾圖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：換主詞</t>
    </r>
  </si>
  <si>
    <r>
      <rPr>
        <b val="true"/>
        <sz val="11"/>
        <color rgb="FFFFFFFF"/>
        <rFont val="Noto Sans CJK SC"/>
        <family val="2"/>
      </rPr>
      <t xml:space="preserve">干擾圖 </t>
    </r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：換動作、屬性或位置關係</t>
    </r>
  </si>
  <si>
    <r>
      <rPr>
        <b val="true"/>
        <sz val="11"/>
        <color rgb="FFFFFFFF"/>
        <rFont val="Noto Sans CJK SC"/>
        <family val="2"/>
      </rPr>
      <t xml:space="preserve">干擾圖 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：換地點或受詞</t>
    </r>
  </si>
  <si>
    <t xml:space="preserve">C01</t>
  </si>
  <si>
    <t xml:space="preserve">The cat sits on the mat.</t>
  </si>
  <si>
    <t xml:space="preserve">貓坐在墊子上</t>
  </si>
  <si>
    <t xml:space="preserve">狗坐在墊子上</t>
  </si>
  <si>
    <t xml:space="preserve">貓站在墊子上</t>
  </si>
  <si>
    <t xml:space="preserve">貓坐在床上</t>
  </si>
  <si>
    <t xml:space="preserve">C02</t>
  </si>
  <si>
    <t xml:space="preserve">The dog runs up the hill.</t>
  </si>
  <si>
    <t xml:space="preserve">狗跑上山丘</t>
  </si>
  <si>
    <t xml:space="preserve">豬跑上山丘</t>
  </si>
  <si>
    <t xml:space="preserve">狗坐在山丘上</t>
  </si>
  <si>
    <t xml:space="preserve">狗跑向箱子</t>
  </si>
  <si>
    <t xml:space="preserve">C03</t>
  </si>
  <si>
    <t xml:space="preserve">The pig sits in the sun.</t>
  </si>
  <si>
    <t xml:space="preserve">豬坐在太陽下</t>
  </si>
  <si>
    <t xml:space="preserve">狗坐在太陽下</t>
  </si>
  <si>
    <t xml:space="preserve">豬在太陽下跑</t>
  </si>
  <si>
    <t xml:space="preserve">豬坐在箱子裡</t>
  </si>
  <si>
    <t xml:space="preserve">C04</t>
  </si>
  <si>
    <t xml:space="preserve">The man cuts the log.</t>
  </si>
  <si>
    <t xml:space="preserve">男人砍木頭</t>
  </si>
  <si>
    <t xml:space="preserve">國王砍木頭</t>
  </si>
  <si>
    <t xml:space="preserve">男人拉木頭</t>
  </si>
  <si>
    <t xml:space="preserve">男人切蛋</t>
  </si>
  <si>
    <t xml:space="preserve">C05</t>
  </si>
  <si>
    <t xml:space="preserve">The egg is in the pan.</t>
  </si>
  <si>
    <t xml:space="preserve">蛋在鍋子裡</t>
  </si>
  <si>
    <t xml:space="preserve">魚在鍋子裡</t>
  </si>
  <si>
    <t xml:space="preserve">蛋在鍋子旁邊</t>
  </si>
  <si>
    <t xml:space="preserve">蛋在杯子裡</t>
  </si>
  <si>
    <t xml:space="preserve">C06</t>
  </si>
  <si>
    <t xml:space="preserve">The king pulls the bag.</t>
  </si>
  <si>
    <t xml:space="preserve">國王拉袋子</t>
  </si>
  <si>
    <t xml:space="preserve">男人拉袋子</t>
  </si>
  <si>
    <t xml:space="preserve">國王抱著袋子</t>
  </si>
  <si>
    <t xml:space="preserve">國王拉箱子</t>
  </si>
  <si>
    <t xml:space="preserve">C07</t>
  </si>
  <si>
    <t xml:space="preserve">The duck is on the log.</t>
  </si>
  <si>
    <t xml:space="preserve">鴨子在木頭上</t>
  </si>
  <si>
    <t xml:space="preserve">青蛙在木頭上</t>
  </si>
  <si>
    <t xml:space="preserve">鴨子在木頭旁游泳</t>
  </si>
  <si>
    <t xml:space="preserve">鴨子在雪橇上</t>
  </si>
  <si>
    <t xml:space="preserve">C08</t>
  </si>
  <si>
    <t xml:space="preserve">The frog swims in the pond.</t>
  </si>
  <si>
    <t xml:space="preserve">青蛙在池塘裡游</t>
  </si>
  <si>
    <t xml:space="preserve">魚在池塘裡游</t>
  </si>
  <si>
    <t xml:space="preserve">青蛙坐在池塘邊</t>
  </si>
  <si>
    <t xml:space="preserve">青蛙在玻璃杯裡游</t>
  </si>
  <si>
    <t xml:space="preserve">C09</t>
  </si>
  <si>
    <t xml:space="preserve">The king has a ring on his hand.</t>
  </si>
  <si>
    <t xml:space="preserve">國王手上有戒指</t>
  </si>
  <si>
    <t xml:space="preserve">男人手上有戒指</t>
  </si>
  <si>
    <t xml:space="preserve">國王手上拿杯子</t>
  </si>
  <si>
    <t xml:space="preserve">國王腿上有戒指</t>
  </si>
  <si>
    <t xml:space="preserve">C10</t>
  </si>
  <si>
    <t xml:space="preserve">The sock is in the box.</t>
  </si>
  <si>
    <t xml:space="preserve">襪子在箱子裡</t>
  </si>
  <si>
    <t xml:space="preserve">帽子在箱子裡</t>
  </si>
  <si>
    <t xml:space="preserve">襪子在箱子上</t>
  </si>
  <si>
    <t xml:space="preserve">襪子在袋子裡</t>
  </si>
  <si>
    <t xml:space="preserve">C11</t>
  </si>
  <si>
    <t xml:space="preserve">The cat licks the fish.</t>
  </si>
  <si>
    <t xml:space="preserve">貓舔魚</t>
  </si>
  <si>
    <t xml:space="preserve">狗舔魚</t>
  </si>
  <si>
    <t xml:space="preserve">貓聞魚</t>
  </si>
  <si>
    <t xml:space="preserve">貓舔牛奶</t>
  </si>
  <si>
    <t xml:space="preserve">C12</t>
  </si>
  <si>
    <t xml:space="preserve">The pig runs in the grass.</t>
  </si>
  <si>
    <t xml:space="preserve">豬在草地上跑</t>
  </si>
  <si>
    <t xml:space="preserve">狗在草地上跑</t>
  </si>
  <si>
    <t xml:space="preserve">豬坐在草地上</t>
  </si>
  <si>
    <t xml:space="preserve">豬在池塘邊跑</t>
  </si>
  <si>
    <t xml:space="preserve">C13</t>
  </si>
  <si>
    <t xml:space="preserve">The man has a red hat.</t>
  </si>
  <si>
    <t xml:space="preserve">男人戴紅帽子</t>
  </si>
  <si>
    <t xml:space="preserve">國王戴紅帽子</t>
  </si>
  <si>
    <t xml:space="preserve">男人戴黑帽子</t>
  </si>
  <si>
    <t xml:space="preserve">男人拿紅袋子</t>
  </si>
  <si>
    <t xml:space="preserve">C14</t>
  </si>
  <si>
    <t xml:space="preserve">A big pig digs in the grass.</t>
  </si>
  <si>
    <t xml:space="preserve">大豬在草地上挖</t>
  </si>
  <si>
    <t xml:space="preserve">大狗在草地上挖</t>
  </si>
  <si>
    <t xml:space="preserve">小豬在草地上挖</t>
  </si>
  <si>
    <t xml:space="preserve">大豬在池塘邊挖</t>
  </si>
  <si>
    <t xml:space="preserve">C15</t>
  </si>
  <si>
    <t xml:space="preserve">The black dog drinks the milk.</t>
  </si>
  <si>
    <t xml:space="preserve">黑狗喝牛奶</t>
  </si>
  <si>
    <t xml:space="preserve">黑貓喝牛奶</t>
  </si>
  <si>
    <t xml:space="preserve">白狗喝牛奶</t>
  </si>
  <si>
    <t xml:space="preserve">黑狗吃魚</t>
  </si>
  <si>
    <t xml:space="preserve">C16</t>
  </si>
  <si>
    <t xml:space="preserve">The sad man sits on the bed.</t>
  </si>
  <si>
    <t xml:space="preserve">難過的男人坐在床上</t>
  </si>
  <si>
    <t xml:space="preserve">難過的狗坐在床上</t>
  </si>
  <si>
    <t xml:space="preserve">開心的男人坐在床上</t>
  </si>
  <si>
    <t xml:space="preserve">難過的男人坐在箱子上</t>
  </si>
  <si>
    <t xml:space="preserve">C17</t>
  </si>
  <si>
    <t xml:space="preserve">The wet duck stands on the sled.</t>
  </si>
  <si>
    <t xml:space="preserve">濕鴨子站在雪橇上</t>
  </si>
  <si>
    <t xml:space="preserve">濕青蛙站在雪橇上</t>
  </si>
  <si>
    <t xml:space="preserve">乾鴨子站在雪橇上</t>
  </si>
  <si>
    <t xml:space="preserve">濕鴨子站在巢裡</t>
  </si>
  <si>
    <t xml:space="preserve">C18</t>
  </si>
  <si>
    <t xml:space="preserve">The strong man lifts the big drum.</t>
  </si>
  <si>
    <t xml:space="preserve">強壯的男人抬大鼓</t>
  </si>
  <si>
    <t xml:space="preserve">強壯的國王抬大鼓</t>
  </si>
  <si>
    <t xml:space="preserve">瘦弱的男人抬大鼓</t>
  </si>
  <si>
    <t xml:space="preserve">強壯的男人抬大箱子</t>
  </si>
  <si>
    <r>
      <rPr>
        <sz val="11"/>
        <rFont val="Noto Sans CJK SC"/>
        <family val="2"/>
      </rPr>
      <t xml:space="preserve">層級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：實詞全部取自第 </t>
    </r>
    <r>
      <rPr>
        <sz val="11"/>
        <rFont val="Arial"/>
        <family val="0"/>
        <charset val="1"/>
      </rPr>
      <t xml:space="preserve">1–2 </t>
    </r>
    <r>
      <rPr>
        <sz val="11"/>
        <rFont val="Noto Sans CJK SC"/>
        <family val="2"/>
      </rPr>
      <t xml:space="preserve">週（</t>
    </r>
    <r>
      <rPr>
        <sz val="11"/>
        <rFont val="Arial"/>
        <family val="0"/>
        <charset val="1"/>
      </rPr>
      <t xml:space="preserve">CVC </t>
    </r>
    <r>
      <rPr>
        <sz val="11"/>
        <rFont val="Noto Sans CJK SC"/>
        <family val="2"/>
      </rPr>
      <t xml:space="preserve">詞），無修飾語；層級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：含第 </t>
    </r>
    <r>
      <rPr>
        <sz val="11"/>
        <rFont val="Arial"/>
        <family val="0"/>
        <charset val="1"/>
      </rPr>
      <t xml:space="preserve">3–4 </t>
    </r>
    <r>
      <rPr>
        <sz val="11"/>
        <rFont val="Noto Sans CJK SC"/>
        <family val="2"/>
      </rPr>
      <t xml:space="preserve">週詞彙（子音叢、雙字母），無修飾語；層級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：名詞帶形容詞修飾語。</t>
    </r>
  </si>
  <si>
    <r>
      <rPr>
        <sz val="11"/>
        <rFont val="Noto Sans CJK SC"/>
        <family val="2"/>
      </rPr>
      <t xml:space="preserve">句中實詞全部取自前四週詞表；功能詞只用 </t>
    </r>
    <r>
      <rPr>
        <sz val="11"/>
        <rFont val="Arial"/>
        <family val="0"/>
        <charset val="1"/>
      </rPr>
      <t xml:space="preserve">the, a, on, in, has, his, is, up</t>
    </r>
    <r>
      <rPr>
        <sz val="11"/>
        <rFont val="Noto Sans CJK SC"/>
        <family val="2"/>
      </rPr>
      <t xml:space="preserve">。</t>
    </r>
  </si>
  <si>
    <t xml:space="preserve">三張干擾圖各只改變一個成分，孩子必須聽懂整句才能選對；錯選哪一張即可看出漏聽哪個成分。</t>
  </si>
  <si>
    <t xml:space="preserve">週</t>
  </si>
  <si>
    <t xml:space="preserve">單字</t>
  </si>
  <si>
    <t xml:space="preserve">圖像性</t>
  </si>
  <si>
    <t xml:space="preserve">表內最小對比詞數</t>
  </si>
  <si>
    <t xml:space="preserve">表內最小對比詞</t>
  </si>
  <si>
    <t xml:space="preserve">在測驗中的用途</t>
  </si>
  <si>
    <t xml:space="preserve">高</t>
  </si>
  <si>
    <t xml:space="preserve">hat, mat, bat, cut, fat</t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</si>
  <si>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目標、</t>
    </r>
    <r>
      <rPr>
        <sz val="11"/>
        <rFont val="Arial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C</t>
    </r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</si>
  <si>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干擾、</t>
    </r>
    <r>
      <rPr>
        <sz val="11"/>
        <rFont val="Arial"/>
        <family val="0"/>
        <charset val="1"/>
      </rPr>
      <t xml:space="preserve">B</t>
    </r>
  </si>
  <si>
    <t xml:space="preserve">dig, log</t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</si>
  <si>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干擾、</t>
    </r>
    <r>
      <rPr>
        <sz val="11"/>
        <rFont val="Arial"/>
        <family val="0"/>
        <charset val="1"/>
      </rPr>
      <t xml:space="preserve">C</t>
    </r>
  </si>
  <si>
    <t xml:space="preserve">big</t>
  </si>
  <si>
    <t xml:space="preserve">中</t>
  </si>
  <si>
    <t xml:space="preserve">pig, dig, bag</t>
  </si>
  <si>
    <t xml:space="preserve">C</t>
  </si>
  <si>
    <t xml:space="preserve">big, dig, pin, pick</t>
  </si>
  <si>
    <t xml:space="preserve">dig</t>
  </si>
  <si>
    <t xml:space="preserve">dog, big, pig</t>
  </si>
  <si>
    <t xml:space="preserve">cat, mat, bat, hot, fat, hit</t>
  </si>
  <si>
    <t xml:space="preserve">cat, hat, bat, man, fat</t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</si>
  <si>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干擾、</t>
    </r>
    <r>
      <rPr>
        <sz val="11"/>
        <rFont val="Arial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C</t>
    </r>
  </si>
  <si>
    <t xml:space="preserve">cat, hat, mat, bag, fat</t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</si>
  <si>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目標、</t>
    </r>
    <r>
      <rPr>
        <sz val="11"/>
        <rFont val="Arial"/>
        <family val="0"/>
        <charset val="1"/>
      </rPr>
      <t xml:space="preserve">B</t>
    </r>
  </si>
  <si>
    <t xml:space="preserve">red, shed</t>
  </si>
  <si>
    <t xml:space="preserve">pig, pan, chin, thin, pick</t>
  </si>
  <si>
    <t xml:space="preserve">sing, hit, fit, sick</t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</si>
  <si>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目標、</t>
    </r>
    <r>
      <rPr>
        <sz val="11"/>
        <rFont val="Arial"/>
        <family val="0"/>
        <charset val="1"/>
      </rPr>
      <t xml:space="preserve">C</t>
    </r>
  </si>
  <si>
    <t xml:space="preserve">hip</t>
  </si>
  <si>
    <t xml:space="preserve">hill, hit</t>
  </si>
  <si>
    <t xml:space="preserve">big, bat</t>
  </si>
  <si>
    <t xml:space="preserve">pin, man, pack</t>
  </si>
  <si>
    <t xml:space="preserve">dog, leg, long</t>
  </si>
  <si>
    <t xml:space="preserve">mat, pan</t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</si>
  <si>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干擾</t>
    </r>
  </si>
  <si>
    <t xml:space="preserve">sun, rush</t>
  </si>
  <si>
    <t xml:space="preserve">cat, cup</t>
  </si>
  <si>
    <t xml:space="preserve">hat, hit</t>
  </si>
  <si>
    <t xml:space="preserve">red</t>
  </si>
  <si>
    <t xml:space="preserve">bed, shed</t>
  </si>
  <si>
    <t xml:space="preserve">wet</t>
  </si>
  <si>
    <t xml:space="preserve">fat</t>
  </si>
  <si>
    <t xml:space="preserve">cat, hat, mat, bat, fit</t>
  </si>
  <si>
    <t xml:space="preserve">sad</t>
  </si>
  <si>
    <t xml:space="preserve">hill</t>
  </si>
  <si>
    <t xml:space="preserve">hip, hit</t>
  </si>
  <si>
    <t xml:space="preserve">wet, sell, shell</t>
  </si>
  <si>
    <t xml:space="preserve">king, sing</t>
  </si>
  <si>
    <t xml:space="preserve">ring, sing, kiss</t>
  </si>
  <si>
    <t xml:space="preserve">sit, ring, king, sick</t>
  </si>
  <si>
    <t xml:space="preserve">full</t>
  </si>
  <si>
    <t xml:space="preserve">低</t>
  </si>
  <si>
    <t xml:space="preserve">pull</t>
  </si>
  <si>
    <t xml:space="preserve">kiss</t>
  </si>
  <si>
    <t xml:space="preserve">king, miss</t>
  </si>
  <si>
    <t xml:space="preserve">well, shell</t>
  </si>
  <si>
    <t xml:space="preserve">B</t>
  </si>
  <si>
    <t xml:space="preserve">ax</t>
  </si>
  <si>
    <t xml:space="preserve">full, push</t>
  </si>
  <si>
    <t xml:space="preserve">long</t>
  </si>
  <si>
    <t xml:space="preserve">yes</t>
  </si>
  <si>
    <t xml:space="preserve">hit</t>
  </si>
  <si>
    <t xml:space="preserve">hat, sit, hip, hot, hill, fit</t>
  </si>
  <si>
    <t xml:space="preserve">miss</t>
  </si>
  <si>
    <t xml:space="preserve">fit</t>
  </si>
  <si>
    <t xml:space="preserve">sit, fat, hit, fish</t>
  </si>
  <si>
    <t xml:space="preserve">up</t>
  </si>
  <si>
    <t xml:space="preserve">drop</t>
  </si>
  <si>
    <t xml:space="preserve">drink</t>
  </si>
  <si>
    <t xml:space="preserve">fly</t>
  </si>
  <si>
    <t xml:space="preserve">cry</t>
  </si>
  <si>
    <t xml:space="preserve">dry</t>
  </si>
  <si>
    <t xml:space="preserve">lift</t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</si>
  <si>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目標</t>
    </r>
  </si>
  <si>
    <t xml:space="preserve">pond</t>
  </si>
  <si>
    <t xml:space="preserve">skip</t>
  </si>
  <si>
    <t xml:space="preserve">clap</t>
  </si>
  <si>
    <t xml:space="preserve">help</t>
  </si>
  <si>
    <t xml:space="preserve">twig</t>
  </si>
  <si>
    <t xml:space="preserve">pink</t>
  </si>
  <si>
    <t xml:space="preserve">soft</t>
  </si>
  <si>
    <t xml:space="preserve">clue</t>
  </si>
  <si>
    <t xml:space="preserve">front</t>
  </si>
  <si>
    <t xml:space="preserve">fast</t>
  </si>
  <si>
    <t xml:space="preserve">smell</t>
  </si>
  <si>
    <t xml:space="preserve">splash</t>
  </si>
  <si>
    <t xml:space="preserve">bed, red, shell</t>
  </si>
  <si>
    <t xml:space="preserve">well, sell, shed</t>
  </si>
  <si>
    <t xml:space="preserve">pin, thin</t>
  </si>
  <si>
    <t xml:space="preserve">chop</t>
  </si>
  <si>
    <t xml:space="preserve">push</t>
  </si>
  <si>
    <t xml:space="preserve">wash</t>
  </si>
  <si>
    <t xml:space="preserve">rush</t>
  </si>
  <si>
    <t xml:space="preserve">pin, chin</t>
  </si>
  <si>
    <t xml:space="preserve">lick</t>
  </si>
  <si>
    <t xml:space="preserve">pick, sick, lock</t>
  </si>
  <si>
    <t xml:space="preserve">pig, pin, lick, sick, pack</t>
  </si>
  <si>
    <t xml:space="preserve">sick, lock</t>
  </si>
  <si>
    <t xml:space="preserve">sit, sing, lick, pick, sock</t>
  </si>
  <si>
    <t xml:space="preserve">pack</t>
  </si>
  <si>
    <t xml:space="preserve">pan, pick</t>
  </si>
  <si>
    <t xml:space="preserve">black</t>
  </si>
  <si>
    <t xml:space="preserve">lunch</t>
  </si>
  <si>
    <t xml:space="preserve">lick, sock</t>
  </si>
  <si>
    <t xml:space="preserve">圖像性為人工判斷：高＝具體名詞，一張圖即可；中＝動作或形容詞，需情境圖；低＝抽象或功能詞，不適合四選一。</t>
  </si>
  <si>
    <t xml:space="preserve">差異位置</t>
  </si>
  <si>
    <r>
      <rPr>
        <b val="true"/>
        <sz val="11"/>
        <color rgb="FFFFFFFF"/>
        <rFont val="Noto Sans CJK SC"/>
        <family val="2"/>
      </rPr>
      <t xml:space="preserve">音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ARPAbet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</si>
  <si>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音 </t>
    </r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ARPAbet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</si>
  <si>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K</t>
  </si>
  <si>
    <t xml:space="preserve">HH</t>
  </si>
  <si>
    <t xml:space="preserve">M</t>
  </si>
  <si>
    <t xml:space="preserve">中間</t>
  </si>
  <si>
    <t xml:space="preserve">AE</t>
  </si>
  <si>
    <t xml:space="preserve">AH</t>
  </si>
  <si>
    <t xml:space="preserve">F</t>
  </si>
  <si>
    <t xml:space="preserve">P</t>
  </si>
  <si>
    <t xml:space="preserve">T</t>
  </si>
  <si>
    <t xml:space="preserve">AO</t>
  </si>
  <si>
    <t xml:space="preserve">IH</t>
  </si>
  <si>
    <t xml:space="preserve">D</t>
  </si>
  <si>
    <t xml:space="preserve">L</t>
  </si>
  <si>
    <t xml:space="preserve">G</t>
  </si>
  <si>
    <t xml:space="preserve">N</t>
  </si>
  <si>
    <t xml:space="preserve">AA</t>
  </si>
  <si>
    <t xml:space="preserve">R</t>
  </si>
  <si>
    <t xml:space="preserve">SH</t>
  </si>
  <si>
    <t xml:space="preserve">CH</t>
  </si>
  <si>
    <t xml:space="preserve">TH</t>
  </si>
  <si>
    <t xml:space="preserve">NG</t>
  </si>
  <si>
    <t xml:space="preserve">S</t>
  </si>
  <si>
    <t xml:space="preserve">EH</t>
  </si>
  <si>
    <t xml:space="preserve">W</t>
  </si>
  <si>
    <r>
      <rPr>
        <sz val="11"/>
        <rFont val="Noto Sans CJK SC"/>
        <family val="2"/>
      </rPr>
      <t xml:space="preserve">依 </t>
    </r>
    <r>
      <rPr>
        <sz val="11"/>
        <rFont val="Arial"/>
        <family val="0"/>
        <charset val="1"/>
      </rPr>
      <t xml:space="preserve">CMU </t>
    </r>
    <r>
      <rPr>
        <sz val="11"/>
        <rFont val="Noto Sans CJK SC"/>
        <family val="2"/>
      </rPr>
      <t xml:space="preserve">發音詞典（美式發音）計算：兩詞音素數相同且只差一個音素。</t>
    </r>
  </si>
  <si>
    <t xml:space="preserve">欄位</t>
  </si>
  <si>
    <t xml:space="preserve">範例</t>
  </si>
  <si>
    <t xml:space="preserve">token</t>
  </si>
  <si>
    <r>
      <rPr>
        <sz val="11"/>
        <rFont val="Noto Sans CJK SC"/>
        <family val="2"/>
      </rPr>
      <t xml:space="preserve">學生代碼，與 </t>
    </r>
    <r>
      <rPr>
        <sz val="11"/>
        <rFont val="Arial"/>
        <family val="0"/>
        <charset val="1"/>
      </rPr>
      <t xml:space="preserve">ORF </t>
    </r>
    <r>
      <rPr>
        <sz val="11"/>
        <rFont val="Noto Sans CJK SC"/>
        <family val="2"/>
      </rPr>
      <t xml:space="preserve">測驗共用，用來串接後續 </t>
    </r>
    <r>
      <rPr>
        <sz val="11"/>
        <rFont val="Arial"/>
        <family val="0"/>
        <charset val="1"/>
      </rPr>
      <t xml:space="preserve">ORF </t>
    </r>
    <r>
      <rPr>
        <sz val="11"/>
        <rFont val="Noto Sans CJK SC"/>
        <family val="2"/>
      </rPr>
      <t xml:space="preserve">成績</t>
    </r>
  </si>
  <si>
    <t xml:space="preserve">S0123</t>
  </si>
  <si>
    <t xml:space="preserve">attempt_at</t>
  </si>
  <si>
    <t xml:space="preserve">作答時間；每次施測新增列，不覆寫</t>
  </si>
  <si>
    <t xml:space="preserve">2026-10-03 09:15</t>
  </si>
  <si>
    <t xml:space="preserve">item_id</t>
  </si>
  <si>
    <t xml:space="preserve">response</t>
  </si>
  <si>
    <t xml:space="preserve">孩子選的選項</t>
  </si>
  <si>
    <t xml:space="preserve">correct</t>
  </si>
  <si>
    <r>
      <rPr>
        <sz val="11"/>
        <rFont val="Noto Sans CJK SC"/>
        <family val="2"/>
      </rPr>
      <t xml:space="preserve">是否答對（</t>
    </r>
    <r>
      <rPr>
        <sz val="11"/>
        <rFont val="Arial"/>
        <family val="0"/>
        <charset val="1"/>
      </rPr>
      <t xml:space="preserve">1 / 0</t>
    </r>
    <r>
      <rPr>
        <sz val="11"/>
        <rFont val="Noto Sans CJK SC"/>
        <family val="2"/>
      </rPr>
      <t xml:space="preserve">）</t>
    </r>
  </si>
  <si>
    <t xml:space="preserve">error_type</t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</si>
  <si>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：音近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義近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無關；</t>
    </r>
    <r>
      <rPr>
        <sz val="11"/>
        <rFont val="Arial"/>
        <family val="0"/>
        <charset val="1"/>
      </rPr>
      <t xml:space="preserve">B</t>
    </r>
    <r>
      <rPr>
        <sz val="11"/>
        <rFont val="Noto Sans CJK SC"/>
        <family val="2"/>
      </rPr>
      <t xml:space="preserve">：漏報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誤報；</t>
    </r>
    <r>
      <rPr>
        <sz val="11"/>
        <rFont val="Arial"/>
        <family val="0"/>
        <charset val="1"/>
      </rPr>
      <t xml:space="preserve">C</t>
    </r>
    <r>
      <rPr>
        <sz val="11"/>
        <rFont val="Noto Sans CJK SC"/>
        <family val="2"/>
      </rPr>
      <t xml:space="preserve">：主詞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動作屬性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地點受詞</t>
    </r>
  </si>
  <si>
    <t xml:space="preserve">音近</t>
  </si>
  <si>
    <t xml:space="preserve">rt_ms</t>
  </si>
  <si>
    <t xml:space="preserve">從音檔播完到點選的毫秒數</t>
  </si>
  <si>
    <t xml:space="preserve">replays</t>
  </si>
  <si>
    <t xml:space="preserve">重播次數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</si>
</sst>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1"/>
      <name val="Noto Sans CJK SC"/>
      <family val="2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b val="true"/>
      <sz val="11"/>
      <name val="Noto Sans CJK SC"/>
      <family val="2"/>
    </font>
    <font>
      <b val="true"/>
      <sz val="12"/>
      <name val="Noto Sans CJK SC"/>
      <family val="2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7.15" hidden="false" customHeight="false" outlineLevel="0" collapsed="false">
      <c r="A5" s="4" t="s">
        <v>10</v>
      </c>
      <c r="B5" s="5" t="s">
        <v>11</v>
      </c>
      <c r="C5" s="5" t="n">
        <f aca="false">COUNTIF(A_詞彙!B2:B33,"第一階段")</f>
        <v>24</v>
      </c>
      <c r="D5" s="6" t="n">
        <v>8</v>
      </c>
      <c r="E5" s="5" t="n">
        <f aca="false">ROUND(C5*D5/60,1)</f>
        <v>3.2</v>
      </c>
      <c r="F5" s="7" t="n">
        <v>0.8</v>
      </c>
      <c r="G5" s="5" t="n">
        <f aca="false">ROUNDUP(C5*F5,0)</f>
        <v>20</v>
      </c>
      <c r="H5" s="5" t="s">
        <v>12</v>
      </c>
    </row>
    <row r="6" customFormat="false" ht="32.8" hidden="false" customHeight="false" outlineLevel="0" collapsed="false">
      <c r="A6" s="4" t="s">
        <v>13</v>
      </c>
      <c r="B6" s="5" t="s">
        <v>11</v>
      </c>
      <c r="C6" s="5" t="n">
        <f aca="false">COUNTIF(A_詞彙!B2:B33,"對照*")</f>
        <v>8</v>
      </c>
      <c r="D6" s="6" t="n">
        <v>8</v>
      </c>
      <c r="E6" s="5" t="n">
        <f aca="false">ROUND(C6*D6/60,1)</f>
        <v>1.1</v>
      </c>
      <c r="F6" s="7" t="n">
        <v>0.75</v>
      </c>
      <c r="G6" s="5" t="n">
        <f aca="false">ROUNDUP(C6*F6,0)</f>
        <v>6</v>
      </c>
      <c r="H6" s="5" t="s">
        <v>14</v>
      </c>
    </row>
    <row r="7" customFormat="false" ht="17.15" hidden="false" customHeight="false" outlineLevel="0" collapsed="false">
      <c r="A7" s="4" t="s">
        <v>15</v>
      </c>
      <c r="B7" s="5" t="s">
        <v>16</v>
      </c>
      <c r="C7" s="5" t="n">
        <f aca="false">COUNTIF(B_音韻區辨!B2:B25,"不同")</f>
        <v>16</v>
      </c>
      <c r="D7" s="6" t="n">
        <v>6</v>
      </c>
      <c r="E7" s="5" t="n">
        <f aca="false">ROUND(C7*D7/60,1)</f>
        <v>1.6</v>
      </c>
      <c r="F7" s="7" t="n">
        <v>0.8</v>
      </c>
      <c r="G7" s="5" t="n">
        <f aca="false">ROUNDUP(C7*F7,0)</f>
        <v>13</v>
      </c>
      <c r="H7" s="5" t="s">
        <v>17</v>
      </c>
    </row>
    <row r="8" customFormat="false" ht="17.15" hidden="false" customHeight="false" outlineLevel="0" collapsed="false">
      <c r="A8" s="4" t="s">
        <v>18</v>
      </c>
      <c r="B8" s="5" t="s">
        <v>16</v>
      </c>
      <c r="C8" s="5" t="n">
        <f aca="false">COUNTIF(B_音韻區辨!B2:B25,"相同")</f>
        <v>8</v>
      </c>
      <c r="D8" s="6" t="n">
        <v>6</v>
      </c>
      <c r="E8" s="5" t="n">
        <f aca="false">ROUND(C8*D8/60,1)</f>
        <v>0.8</v>
      </c>
      <c r="F8" s="7" t="n">
        <v>0.75</v>
      </c>
      <c r="G8" s="5" t="n">
        <f aca="false">ROUNDUP(C8*F8,0)</f>
        <v>6</v>
      </c>
      <c r="H8" s="5" t="s">
        <v>19</v>
      </c>
    </row>
    <row r="9" customFormat="false" ht="17.15" hidden="false" customHeight="false" outlineLevel="0" collapsed="false">
      <c r="A9" s="4" t="s">
        <v>20</v>
      </c>
      <c r="B9" s="5" t="s">
        <v>21</v>
      </c>
      <c r="C9" s="5" t="n">
        <f aca="false">COUNTA(C_句子理解!C2:C19)</f>
        <v>18</v>
      </c>
      <c r="D9" s="6" t="n">
        <v>12</v>
      </c>
      <c r="E9" s="5" t="n">
        <f aca="false">ROUND(C9*D9/60,1)</f>
        <v>3.6</v>
      </c>
      <c r="F9" s="7" t="n">
        <v>0.8</v>
      </c>
      <c r="G9" s="5" t="n">
        <f aca="false">ROUNDUP(C9*F9,0)</f>
        <v>15</v>
      </c>
      <c r="H9" s="5" t="s">
        <v>22</v>
      </c>
    </row>
    <row r="10" customFormat="false" ht="17.15" hidden="false" customHeight="false" outlineLevel="0" collapsed="false">
      <c r="A10" s="8" t="s">
        <v>23</v>
      </c>
      <c r="B10" s="9"/>
      <c r="C10" s="8" t="n">
        <f aca="false">SUM(C5:C9)</f>
        <v>74</v>
      </c>
      <c r="D10" s="9"/>
      <c r="E10" s="8" t="n">
        <f aca="false">SUM(E5:E9)</f>
        <v>10.3</v>
      </c>
      <c r="F10" s="9"/>
      <c r="G10" s="9"/>
      <c r="H10" s="10" t="s">
        <v>24</v>
      </c>
    </row>
    <row r="12" customFormat="false" ht="15" hidden="false" customHeight="false" outlineLevel="0" collapsed="false">
      <c r="A12" s="11" t="s">
        <v>25</v>
      </c>
    </row>
    <row r="13" customFormat="false" ht="15" hidden="false" customHeight="false" outlineLevel="0" collapsed="false">
      <c r="A13" s="12" t="s">
        <v>26</v>
      </c>
      <c r="B13" s="12" t="s">
        <v>27</v>
      </c>
      <c r="C13" s="12" t="s">
        <v>28</v>
      </c>
    </row>
    <row r="14" customFormat="false" ht="32.8" hidden="false" customHeight="false" outlineLevel="0" collapsed="false">
      <c r="A14" s="5" t="s">
        <v>29</v>
      </c>
      <c r="B14" s="5" t="s">
        <v>30</v>
      </c>
      <c r="C14" s="5" t="s">
        <v>31</v>
      </c>
    </row>
    <row r="15" customFormat="false" ht="32.8" hidden="false" customHeight="false" outlineLevel="0" collapsed="false">
      <c r="A15" s="5" t="s">
        <v>32</v>
      </c>
      <c r="B15" s="5" t="s">
        <v>33</v>
      </c>
      <c r="C15" s="5" t="s">
        <v>34</v>
      </c>
    </row>
    <row r="16" customFormat="false" ht="32.8" hidden="false" customHeight="false" outlineLevel="0" collapsed="false">
      <c r="A16" s="5" t="s">
        <v>35</v>
      </c>
      <c r="B16" s="5" t="s">
        <v>36</v>
      </c>
      <c r="C16" s="5" t="s">
        <v>37</v>
      </c>
    </row>
    <row r="17" customFormat="false" ht="32.8" hidden="false" customHeight="false" outlineLevel="0" collapsed="false">
      <c r="A17" s="4" t="s">
        <v>38</v>
      </c>
      <c r="B17" s="5" t="s">
        <v>39</v>
      </c>
      <c r="C17" s="5" t="s">
        <v>40</v>
      </c>
    </row>
    <row r="18" customFormat="false" ht="32.8" hidden="false" customHeight="false" outlineLevel="0" collapsed="false">
      <c r="A18" s="4" t="s">
        <v>41</v>
      </c>
      <c r="B18" s="5" t="s">
        <v>42</v>
      </c>
      <c r="C18" s="5" t="s">
        <v>43</v>
      </c>
    </row>
    <row r="19" customFormat="false" ht="17.15" hidden="false" customHeight="false" outlineLevel="0" collapsed="false">
      <c r="A19" s="5" t="s">
        <v>44</v>
      </c>
      <c r="B19" s="5" t="s">
        <v>45</v>
      </c>
      <c r="C19" s="5" t="s">
        <v>46</v>
      </c>
    </row>
    <row r="21" customFormat="false" ht="15" hidden="false" customHeight="false" outlineLevel="0" collapsed="false">
      <c r="A21" s="11" t="s">
        <v>47</v>
      </c>
    </row>
    <row r="22" customFormat="false" ht="15" hidden="false" customHeight="false" outlineLevel="0" collapsed="false">
      <c r="A22" s="13" t="s">
        <v>48</v>
      </c>
      <c r="B22" s="13" t="n">
        <f aca="false">COUNTA(詞表分析!B2:B107)</f>
        <v>106</v>
      </c>
    </row>
    <row r="23" customFormat="false" ht="15" hidden="false" customHeight="false" outlineLevel="0" collapsed="false">
      <c r="A23" s="13" t="s">
        <v>49</v>
      </c>
      <c r="B23" s="13" t="n">
        <f aca="false">COUNTIF(詞表分析!C2:C107,"高")</f>
        <v>52</v>
      </c>
    </row>
    <row r="24" customFormat="false" ht="15" hidden="false" customHeight="false" outlineLevel="0" collapsed="false">
      <c r="A24" s="13" t="s">
        <v>50</v>
      </c>
      <c r="B24" s="13" t="n">
        <f aca="false">COUNTIF(詞表分析!C2:C107,"中")</f>
        <v>42</v>
      </c>
    </row>
    <row r="25" customFormat="false" ht="15" hidden="false" customHeight="false" outlineLevel="0" collapsed="false">
      <c r="A25" s="13" t="s">
        <v>51</v>
      </c>
      <c r="B25" s="13" t="n">
        <f aca="false">COUNTIF(詞表分析!C2:C107,"低")</f>
        <v>12</v>
      </c>
    </row>
    <row r="26" customFormat="false" ht="15" hidden="false" customHeight="false" outlineLevel="0" collapsed="false">
      <c r="A26" s="13" t="s">
        <v>52</v>
      </c>
      <c r="B26" s="13" t="n">
        <f aca="false">COUNTA(最小對比詞!A2:A77)</f>
        <v>76</v>
      </c>
    </row>
    <row r="27" customFormat="false" ht="15" hidden="false" customHeight="false" outlineLevel="0" collapsed="false">
      <c r="A27" s="13" t="s">
        <v>53</v>
      </c>
      <c r="B27" s="13" t="n">
        <f aca="false">COUNTIF(詞表分析!D2:D107,"&gt;0")</f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8" min="5" style="0" width="12"/>
    <col collapsed="false" customWidth="true" hidden="false" outlineLevel="0" max="9" min="9" style="0" width="18"/>
    <col collapsed="false" customWidth="true" hidden="false" outlineLevel="0" max="10" min="10" style="0" width="52"/>
  </cols>
  <sheetData>
    <row r="1" customFormat="false" ht="17.15" hidden="false" customHeight="false" outlineLevel="0" collapsed="false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</row>
    <row r="2" customFormat="false" ht="17.15" hidden="false" customHeight="false" outlineLevel="0" collapsed="false">
      <c r="A2" s="4" t="s">
        <v>64</v>
      </c>
      <c r="B2" s="5" t="s">
        <v>65</v>
      </c>
      <c r="C2" s="5" t="n">
        <v>1</v>
      </c>
      <c r="D2" s="4" t="s">
        <v>66</v>
      </c>
      <c r="E2" s="4" t="s">
        <v>67</v>
      </c>
      <c r="F2" s="5" t="s">
        <v>68</v>
      </c>
      <c r="G2" s="4" t="s">
        <v>69</v>
      </c>
      <c r="H2" s="4" t="s">
        <v>70</v>
      </c>
      <c r="I2" s="4" t="s">
        <v>71</v>
      </c>
      <c r="J2" s="5"/>
    </row>
    <row r="3" customFormat="false" ht="17.15" hidden="false" customHeight="false" outlineLevel="0" collapsed="false">
      <c r="A3" s="4" t="s">
        <v>72</v>
      </c>
      <c r="B3" s="5" t="s">
        <v>65</v>
      </c>
      <c r="C3" s="5" t="n">
        <v>1</v>
      </c>
      <c r="D3" s="4" t="s">
        <v>73</v>
      </c>
      <c r="E3" s="4" t="s">
        <v>74</v>
      </c>
      <c r="F3" s="5" t="s">
        <v>75</v>
      </c>
      <c r="G3" s="4" t="s">
        <v>76</v>
      </c>
      <c r="H3" s="4" t="s">
        <v>77</v>
      </c>
      <c r="I3" s="4" t="s">
        <v>78</v>
      </c>
      <c r="J3" s="5"/>
    </row>
    <row r="4" customFormat="false" ht="17.15" hidden="false" customHeight="false" outlineLevel="0" collapsed="false">
      <c r="A4" s="4" t="s">
        <v>79</v>
      </c>
      <c r="B4" s="5" t="s">
        <v>65</v>
      </c>
      <c r="C4" s="5" t="n">
        <v>2</v>
      </c>
      <c r="D4" s="4" t="s">
        <v>80</v>
      </c>
      <c r="E4" s="4" t="s">
        <v>81</v>
      </c>
      <c r="F4" s="5" t="s">
        <v>68</v>
      </c>
      <c r="G4" s="4" t="s">
        <v>82</v>
      </c>
      <c r="H4" s="4" t="s">
        <v>83</v>
      </c>
      <c r="I4" s="4" t="s">
        <v>84</v>
      </c>
      <c r="J4" s="5"/>
    </row>
    <row r="5" customFormat="false" ht="17.15" hidden="false" customHeight="false" outlineLevel="0" collapsed="false">
      <c r="A5" s="4" t="s">
        <v>85</v>
      </c>
      <c r="B5" s="5" t="s">
        <v>65</v>
      </c>
      <c r="C5" s="5" t="n">
        <v>2</v>
      </c>
      <c r="D5" s="4" t="s">
        <v>86</v>
      </c>
      <c r="E5" s="4" t="s">
        <v>87</v>
      </c>
      <c r="F5" s="5" t="s">
        <v>75</v>
      </c>
      <c r="G5" s="4" t="s">
        <v>88</v>
      </c>
      <c r="H5" s="4" t="s">
        <v>89</v>
      </c>
      <c r="I5" s="4" t="s">
        <v>90</v>
      </c>
      <c r="J5" s="4" t="s">
        <v>91</v>
      </c>
    </row>
    <row r="6" customFormat="false" ht="17.15" hidden="false" customHeight="false" outlineLevel="0" collapsed="false">
      <c r="A6" s="4" t="s">
        <v>92</v>
      </c>
      <c r="B6" s="5" t="s">
        <v>65</v>
      </c>
      <c r="C6" s="5" t="n">
        <v>2</v>
      </c>
      <c r="D6" s="4" t="s">
        <v>78</v>
      </c>
      <c r="E6" s="4" t="s">
        <v>93</v>
      </c>
      <c r="F6" s="5" t="s">
        <v>94</v>
      </c>
      <c r="G6" s="4" t="s">
        <v>95</v>
      </c>
      <c r="H6" s="4" t="s">
        <v>96</v>
      </c>
      <c r="I6" s="4" t="s">
        <v>97</v>
      </c>
      <c r="J6" s="5"/>
    </row>
    <row r="7" customFormat="false" ht="17.15" hidden="false" customHeight="false" outlineLevel="0" collapsed="false">
      <c r="A7" s="4" t="s">
        <v>98</v>
      </c>
      <c r="B7" s="5" t="s">
        <v>65</v>
      </c>
      <c r="C7" s="5" t="n">
        <v>2</v>
      </c>
      <c r="D7" s="4" t="s">
        <v>74</v>
      </c>
      <c r="E7" s="4" t="s">
        <v>99</v>
      </c>
      <c r="F7" s="5" t="s">
        <v>68</v>
      </c>
      <c r="G7" s="4" t="s">
        <v>100</v>
      </c>
      <c r="H7" s="4" t="s">
        <v>101</v>
      </c>
      <c r="I7" s="4" t="s">
        <v>102</v>
      </c>
      <c r="J7" s="5"/>
    </row>
    <row r="8" customFormat="false" ht="17.15" hidden="false" customHeight="false" outlineLevel="0" collapsed="false">
      <c r="A8" s="4" t="s">
        <v>103</v>
      </c>
      <c r="B8" s="5" t="s">
        <v>65</v>
      </c>
      <c r="C8" s="5" t="n">
        <v>2</v>
      </c>
      <c r="D8" s="4" t="s">
        <v>104</v>
      </c>
      <c r="E8" s="4" t="s">
        <v>105</v>
      </c>
      <c r="F8" s="5" t="s">
        <v>68</v>
      </c>
      <c r="G8" s="4" t="s">
        <v>106</v>
      </c>
      <c r="H8" s="4" t="s">
        <v>107</v>
      </c>
      <c r="I8" s="4" t="s">
        <v>108</v>
      </c>
      <c r="J8" s="5"/>
    </row>
    <row r="9" customFormat="false" ht="17.15" hidden="false" customHeight="false" outlineLevel="0" collapsed="false">
      <c r="A9" s="4" t="s">
        <v>109</v>
      </c>
      <c r="B9" s="5" t="s">
        <v>65</v>
      </c>
      <c r="C9" s="5" t="n">
        <v>2</v>
      </c>
      <c r="D9" s="4" t="s">
        <v>110</v>
      </c>
      <c r="E9" s="4" t="s">
        <v>111</v>
      </c>
      <c r="F9" s="5" t="s">
        <v>75</v>
      </c>
      <c r="G9" s="4" t="s">
        <v>112</v>
      </c>
      <c r="H9" s="4" t="s">
        <v>113</v>
      </c>
      <c r="I9" s="4" t="s">
        <v>114</v>
      </c>
      <c r="J9" s="5"/>
    </row>
    <row r="10" customFormat="false" ht="17.15" hidden="false" customHeight="false" outlineLevel="0" collapsed="false">
      <c r="A10" s="4" t="s">
        <v>115</v>
      </c>
      <c r="B10" s="5" t="s">
        <v>65</v>
      </c>
      <c r="C10" s="5" t="n">
        <v>2</v>
      </c>
      <c r="D10" s="4" t="s">
        <v>71</v>
      </c>
      <c r="E10" s="4" t="s">
        <v>116</v>
      </c>
      <c r="F10" s="5" t="s">
        <v>94</v>
      </c>
      <c r="G10" s="4" t="s">
        <v>117</v>
      </c>
      <c r="H10" s="4" t="s">
        <v>118</v>
      </c>
      <c r="I10" s="4" t="s">
        <v>119</v>
      </c>
      <c r="J10" s="5"/>
    </row>
    <row r="11" customFormat="false" ht="17.15" hidden="false" customHeight="false" outlineLevel="0" collapsed="false">
      <c r="A11" s="4" t="s">
        <v>120</v>
      </c>
      <c r="B11" s="5" t="s">
        <v>65</v>
      </c>
      <c r="C11" s="5" t="n">
        <v>2</v>
      </c>
      <c r="D11" s="4" t="s">
        <v>121</v>
      </c>
      <c r="E11" s="4" t="s">
        <v>122</v>
      </c>
      <c r="F11" s="5" t="s">
        <v>94</v>
      </c>
      <c r="G11" s="4" t="s">
        <v>123</v>
      </c>
      <c r="H11" s="4" t="s">
        <v>110</v>
      </c>
      <c r="I11" s="4" t="s">
        <v>124</v>
      </c>
      <c r="J11" s="5"/>
    </row>
    <row r="12" customFormat="false" ht="17.15" hidden="false" customHeight="false" outlineLevel="0" collapsed="false">
      <c r="A12" s="4" t="s">
        <v>125</v>
      </c>
      <c r="B12" s="5" t="s">
        <v>65</v>
      </c>
      <c r="C12" s="5" t="n">
        <v>2</v>
      </c>
      <c r="D12" s="4" t="s">
        <v>84</v>
      </c>
      <c r="E12" s="4" t="s">
        <v>104</v>
      </c>
      <c r="F12" s="5" t="s">
        <v>126</v>
      </c>
      <c r="G12" s="4" t="s">
        <v>127</v>
      </c>
      <c r="H12" s="4" t="s">
        <v>128</v>
      </c>
      <c r="I12" s="4" t="s">
        <v>129</v>
      </c>
      <c r="J12" s="5" t="s">
        <v>130</v>
      </c>
    </row>
    <row r="13" customFormat="false" ht="17.15" hidden="false" customHeight="false" outlineLevel="0" collapsed="false">
      <c r="A13" s="4" t="s">
        <v>131</v>
      </c>
      <c r="B13" s="5" t="s">
        <v>65</v>
      </c>
      <c r="C13" s="5" t="n">
        <v>2</v>
      </c>
      <c r="D13" s="4" t="s">
        <v>132</v>
      </c>
      <c r="E13" s="4" t="s">
        <v>133</v>
      </c>
      <c r="F13" s="5" t="s">
        <v>75</v>
      </c>
      <c r="G13" s="4" t="s">
        <v>134</v>
      </c>
      <c r="H13" s="4" t="s">
        <v>135</v>
      </c>
      <c r="I13" s="4" t="s">
        <v>136</v>
      </c>
      <c r="J13" s="5"/>
    </row>
    <row r="14" customFormat="false" ht="17.15" hidden="false" customHeight="false" outlineLevel="0" collapsed="false">
      <c r="A14" s="4" t="s">
        <v>137</v>
      </c>
      <c r="B14" s="5" t="s">
        <v>65</v>
      </c>
      <c r="C14" s="5" t="n">
        <v>3</v>
      </c>
      <c r="D14" s="4" t="s">
        <v>138</v>
      </c>
      <c r="E14" s="4" t="s">
        <v>139</v>
      </c>
      <c r="F14" s="5" t="s">
        <v>140</v>
      </c>
      <c r="G14" s="4" t="s">
        <v>141</v>
      </c>
      <c r="H14" s="4" t="s">
        <v>142</v>
      </c>
      <c r="I14" s="4" t="s">
        <v>143</v>
      </c>
      <c r="J14" s="5"/>
    </row>
    <row r="15" customFormat="false" ht="17.15" hidden="false" customHeight="false" outlineLevel="0" collapsed="false">
      <c r="A15" s="4" t="s">
        <v>144</v>
      </c>
      <c r="B15" s="5" t="s">
        <v>65</v>
      </c>
      <c r="C15" s="5" t="n">
        <v>3</v>
      </c>
      <c r="D15" s="4" t="s">
        <v>107</v>
      </c>
      <c r="E15" s="4" t="s">
        <v>145</v>
      </c>
      <c r="F15" s="5" t="s">
        <v>94</v>
      </c>
      <c r="G15" s="4" t="s">
        <v>146</v>
      </c>
      <c r="H15" s="4" t="s">
        <v>147</v>
      </c>
      <c r="I15" s="4" t="s">
        <v>148</v>
      </c>
      <c r="J15" s="4" t="s">
        <v>149</v>
      </c>
    </row>
    <row r="16" customFormat="false" ht="17.15" hidden="false" customHeight="false" outlineLevel="0" collapsed="false">
      <c r="A16" s="4" t="s">
        <v>150</v>
      </c>
      <c r="B16" s="5" t="s">
        <v>65</v>
      </c>
      <c r="C16" s="5" t="n">
        <v>3</v>
      </c>
      <c r="D16" s="4" t="s">
        <v>151</v>
      </c>
      <c r="E16" s="4" t="s">
        <v>152</v>
      </c>
      <c r="F16" s="5" t="s">
        <v>75</v>
      </c>
      <c r="G16" s="4" t="s">
        <v>153</v>
      </c>
      <c r="H16" s="4" t="s">
        <v>154</v>
      </c>
      <c r="I16" s="4" t="s">
        <v>87</v>
      </c>
      <c r="J16" s="5"/>
    </row>
    <row r="17" customFormat="false" ht="17.15" hidden="false" customHeight="false" outlineLevel="0" collapsed="false">
      <c r="A17" s="4" t="s">
        <v>155</v>
      </c>
      <c r="B17" s="5" t="s">
        <v>65</v>
      </c>
      <c r="C17" s="5" t="n">
        <v>3</v>
      </c>
      <c r="D17" s="4" t="s">
        <v>97</v>
      </c>
      <c r="E17" s="4" t="s">
        <v>105</v>
      </c>
      <c r="F17" s="5" t="s">
        <v>126</v>
      </c>
      <c r="G17" s="4" t="s">
        <v>156</v>
      </c>
      <c r="H17" s="4" t="s">
        <v>77</v>
      </c>
      <c r="I17" s="4" t="s">
        <v>119</v>
      </c>
      <c r="J17" s="5" t="s">
        <v>157</v>
      </c>
    </row>
    <row r="18" customFormat="false" ht="17.15" hidden="false" customHeight="false" outlineLevel="0" collapsed="false">
      <c r="A18" s="4" t="s">
        <v>158</v>
      </c>
      <c r="B18" s="5" t="s">
        <v>65</v>
      </c>
      <c r="C18" s="5" t="n">
        <v>3</v>
      </c>
      <c r="D18" s="4" t="s">
        <v>90</v>
      </c>
      <c r="E18" s="4" t="s">
        <v>159</v>
      </c>
      <c r="F18" s="5" t="s">
        <v>75</v>
      </c>
      <c r="G18" s="4" t="s">
        <v>160</v>
      </c>
      <c r="H18" s="4" t="s">
        <v>161</v>
      </c>
      <c r="I18" s="4" t="s">
        <v>136</v>
      </c>
      <c r="J18" s="5" t="s">
        <v>162</v>
      </c>
    </row>
    <row r="19" customFormat="false" ht="17.15" hidden="false" customHeight="false" outlineLevel="0" collapsed="false">
      <c r="A19" s="4" t="s">
        <v>163</v>
      </c>
      <c r="B19" s="5" t="s">
        <v>65</v>
      </c>
      <c r="C19" s="5" t="n">
        <v>3</v>
      </c>
      <c r="D19" s="4" t="s">
        <v>164</v>
      </c>
      <c r="E19" s="4" t="s">
        <v>165</v>
      </c>
      <c r="F19" s="5" t="s">
        <v>68</v>
      </c>
      <c r="G19" s="4" t="s">
        <v>166</v>
      </c>
      <c r="H19" s="4" t="s">
        <v>167</v>
      </c>
      <c r="I19" s="4" t="s">
        <v>73</v>
      </c>
      <c r="J19" s="5"/>
    </row>
    <row r="20" customFormat="false" ht="17.15" hidden="false" customHeight="false" outlineLevel="0" collapsed="false">
      <c r="A20" s="4" t="s">
        <v>168</v>
      </c>
      <c r="B20" s="5" t="s">
        <v>65</v>
      </c>
      <c r="C20" s="5" t="n">
        <v>4</v>
      </c>
      <c r="D20" s="4" t="s">
        <v>169</v>
      </c>
      <c r="E20" s="4" t="s">
        <v>170</v>
      </c>
      <c r="F20" s="5" t="s">
        <v>94</v>
      </c>
      <c r="G20" s="4" t="s">
        <v>171</v>
      </c>
      <c r="H20" s="4" t="s">
        <v>124</v>
      </c>
      <c r="I20" s="4" t="s">
        <v>172</v>
      </c>
      <c r="J20" s="4" t="s">
        <v>173</v>
      </c>
    </row>
    <row r="21" customFormat="false" ht="17.15" hidden="false" customHeight="false" outlineLevel="0" collapsed="false">
      <c r="A21" s="4" t="s">
        <v>174</v>
      </c>
      <c r="B21" s="5" t="s">
        <v>65</v>
      </c>
      <c r="C21" s="5" t="n">
        <v>4</v>
      </c>
      <c r="D21" s="4" t="s">
        <v>83</v>
      </c>
      <c r="E21" s="4" t="s">
        <v>175</v>
      </c>
      <c r="F21" s="5" t="s">
        <v>68</v>
      </c>
      <c r="G21" s="4" t="s">
        <v>176</v>
      </c>
      <c r="H21" s="4" t="s">
        <v>177</v>
      </c>
      <c r="I21" s="4" t="s">
        <v>102</v>
      </c>
      <c r="J21" s="5"/>
    </row>
    <row r="22" customFormat="false" ht="17.15" hidden="false" customHeight="false" outlineLevel="0" collapsed="false">
      <c r="A22" s="4" t="s">
        <v>178</v>
      </c>
      <c r="B22" s="5" t="s">
        <v>65</v>
      </c>
      <c r="C22" s="5" t="n">
        <v>4</v>
      </c>
      <c r="D22" s="4" t="s">
        <v>179</v>
      </c>
      <c r="E22" s="4" t="s">
        <v>114</v>
      </c>
      <c r="F22" s="5" t="s">
        <v>140</v>
      </c>
      <c r="G22" s="4" t="s">
        <v>180</v>
      </c>
      <c r="H22" s="4" t="s">
        <v>181</v>
      </c>
      <c r="I22" s="4" t="s">
        <v>129</v>
      </c>
      <c r="J22" s="5" t="s">
        <v>157</v>
      </c>
    </row>
    <row r="23" customFormat="false" ht="17.15" hidden="false" customHeight="false" outlineLevel="0" collapsed="false">
      <c r="A23" s="4" t="s">
        <v>182</v>
      </c>
      <c r="B23" s="5" t="s">
        <v>65</v>
      </c>
      <c r="C23" s="5" t="n">
        <v>4</v>
      </c>
      <c r="D23" s="4" t="s">
        <v>183</v>
      </c>
      <c r="E23" s="4" t="s">
        <v>184</v>
      </c>
      <c r="F23" s="5" t="s">
        <v>185</v>
      </c>
      <c r="G23" s="4" t="s">
        <v>186</v>
      </c>
      <c r="H23" s="4" t="s">
        <v>187</v>
      </c>
      <c r="I23" s="4" t="s">
        <v>148</v>
      </c>
      <c r="J23" s="5" t="s">
        <v>188</v>
      </c>
    </row>
    <row r="24" customFormat="false" ht="17.15" hidden="false" customHeight="false" outlineLevel="0" collapsed="false">
      <c r="A24" s="4" t="s">
        <v>189</v>
      </c>
      <c r="B24" s="5" t="s">
        <v>65</v>
      </c>
      <c r="C24" s="5" t="n">
        <v>4</v>
      </c>
      <c r="D24" s="4" t="s">
        <v>190</v>
      </c>
      <c r="E24" s="4" t="s">
        <v>191</v>
      </c>
      <c r="F24" s="5" t="s">
        <v>140</v>
      </c>
      <c r="G24" s="4" t="s">
        <v>192</v>
      </c>
      <c r="H24" s="4" t="s">
        <v>193</v>
      </c>
      <c r="I24" s="4" t="s">
        <v>142</v>
      </c>
      <c r="J24" s="4" t="s">
        <v>194</v>
      </c>
    </row>
    <row r="25" customFormat="false" ht="17.15" hidden="false" customHeight="false" outlineLevel="0" collapsed="false">
      <c r="A25" s="4" t="s">
        <v>195</v>
      </c>
      <c r="B25" s="5" t="s">
        <v>65</v>
      </c>
      <c r="C25" s="5" t="n">
        <v>4</v>
      </c>
      <c r="D25" s="4" t="s">
        <v>196</v>
      </c>
      <c r="E25" s="4" t="s">
        <v>197</v>
      </c>
      <c r="F25" s="5" t="s">
        <v>94</v>
      </c>
      <c r="G25" s="4" t="s">
        <v>198</v>
      </c>
      <c r="H25" s="4" t="s">
        <v>159</v>
      </c>
      <c r="I25" s="4" t="s">
        <v>108</v>
      </c>
      <c r="J25" s="4" t="s">
        <v>199</v>
      </c>
    </row>
    <row r="26" customFormat="false" ht="17.15" hidden="false" customHeight="false" outlineLevel="0" collapsed="false">
      <c r="A26" s="4" t="s">
        <v>200</v>
      </c>
      <c r="B26" s="5" t="s">
        <v>201</v>
      </c>
      <c r="C26" s="5" t="n">
        <v>20</v>
      </c>
      <c r="D26" s="4" t="s">
        <v>202</v>
      </c>
      <c r="E26" s="5" t="s">
        <v>203</v>
      </c>
      <c r="F26" s="4" t="s">
        <v>204</v>
      </c>
      <c r="G26" s="4" t="s">
        <v>204</v>
      </c>
      <c r="H26" s="4" t="s">
        <v>205</v>
      </c>
      <c r="I26" s="4" t="s">
        <v>206</v>
      </c>
      <c r="J26" s="5" t="s">
        <v>207</v>
      </c>
    </row>
    <row r="27" customFormat="false" ht="17.15" hidden="false" customHeight="false" outlineLevel="0" collapsed="false">
      <c r="A27" s="4" t="s">
        <v>208</v>
      </c>
      <c r="B27" s="5" t="s">
        <v>201</v>
      </c>
      <c r="C27" s="5" t="n">
        <v>15</v>
      </c>
      <c r="D27" s="4" t="s">
        <v>209</v>
      </c>
      <c r="E27" s="5" t="s">
        <v>203</v>
      </c>
      <c r="F27" s="4" t="s">
        <v>204</v>
      </c>
      <c r="G27" s="4" t="s">
        <v>204</v>
      </c>
      <c r="H27" s="4" t="s">
        <v>210</v>
      </c>
      <c r="I27" s="4" t="s">
        <v>211</v>
      </c>
      <c r="J27" s="5" t="s">
        <v>207</v>
      </c>
    </row>
    <row r="28" customFormat="false" ht="17.15" hidden="false" customHeight="false" outlineLevel="0" collapsed="false">
      <c r="A28" s="4" t="s">
        <v>212</v>
      </c>
      <c r="B28" s="5" t="s">
        <v>201</v>
      </c>
      <c r="C28" s="5" t="n">
        <v>20</v>
      </c>
      <c r="D28" s="4" t="s">
        <v>213</v>
      </c>
      <c r="E28" s="5" t="s">
        <v>203</v>
      </c>
      <c r="F28" s="4" t="s">
        <v>204</v>
      </c>
      <c r="G28" s="4" t="s">
        <v>204</v>
      </c>
      <c r="H28" s="4" t="s">
        <v>214</v>
      </c>
      <c r="I28" s="4" t="s">
        <v>215</v>
      </c>
      <c r="J28" s="5" t="s">
        <v>207</v>
      </c>
    </row>
    <row r="29" customFormat="false" ht="17.15" hidden="false" customHeight="false" outlineLevel="0" collapsed="false">
      <c r="A29" s="4" t="s">
        <v>216</v>
      </c>
      <c r="B29" s="5" t="s">
        <v>201</v>
      </c>
      <c r="C29" s="5" t="n">
        <v>20</v>
      </c>
      <c r="D29" s="4" t="s">
        <v>217</v>
      </c>
      <c r="E29" s="5" t="s">
        <v>203</v>
      </c>
      <c r="F29" s="4" t="s">
        <v>204</v>
      </c>
      <c r="G29" s="4" t="s">
        <v>204</v>
      </c>
      <c r="H29" s="4" t="s">
        <v>218</v>
      </c>
      <c r="I29" s="4" t="s">
        <v>219</v>
      </c>
      <c r="J29" s="5" t="s">
        <v>207</v>
      </c>
    </row>
    <row r="30" customFormat="false" ht="17.15" hidden="false" customHeight="false" outlineLevel="0" collapsed="false">
      <c r="A30" s="4" t="s">
        <v>220</v>
      </c>
      <c r="B30" s="5" t="s">
        <v>201</v>
      </c>
      <c r="C30" s="5" t="n">
        <v>15</v>
      </c>
      <c r="D30" s="4" t="s">
        <v>221</v>
      </c>
      <c r="E30" s="5" t="s">
        <v>203</v>
      </c>
      <c r="F30" s="4" t="s">
        <v>204</v>
      </c>
      <c r="G30" s="4" t="s">
        <v>204</v>
      </c>
      <c r="H30" s="4" t="s">
        <v>222</v>
      </c>
      <c r="I30" s="4" t="s">
        <v>223</v>
      </c>
      <c r="J30" s="5" t="s">
        <v>207</v>
      </c>
    </row>
    <row r="31" customFormat="false" ht="17.15" hidden="false" customHeight="false" outlineLevel="0" collapsed="false">
      <c r="A31" s="4" t="s">
        <v>224</v>
      </c>
      <c r="B31" s="5" t="s">
        <v>201</v>
      </c>
      <c r="C31" s="5" t="n">
        <v>18</v>
      </c>
      <c r="D31" s="4" t="s">
        <v>225</v>
      </c>
      <c r="E31" s="5" t="s">
        <v>203</v>
      </c>
      <c r="F31" s="4" t="s">
        <v>204</v>
      </c>
      <c r="G31" s="4" t="s">
        <v>204</v>
      </c>
      <c r="H31" s="4" t="s">
        <v>226</v>
      </c>
      <c r="I31" s="4" t="s">
        <v>227</v>
      </c>
      <c r="J31" s="5" t="s">
        <v>207</v>
      </c>
    </row>
    <row r="32" customFormat="false" ht="17.15" hidden="false" customHeight="false" outlineLevel="0" collapsed="false">
      <c r="A32" s="4" t="s">
        <v>228</v>
      </c>
      <c r="B32" s="5" t="s">
        <v>201</v>
      </c>
      <c r="C32" s="5" t="n">
        <v>17</v>
      </c>
      <c r="D32" s="4" t="s">
        <v>229</v>
      </c>
      <c r="E32" s="5" t="s">
        <v>203</v>
      </c>
      <c r="F32" s="4" t="s">
        <v>204</v>
      </c>
      <c r="G32" s="4" t="s">
        <v>204</v>
      </c>
      <c r="H32" s="4" t="s">
        <v>230</v>
      </c>
      <c r="I32" s="4" t="s">
        <v>231</v>
      </c>
      <c r="J32" s="5" t="s">
        <v>207</v>
      </c>
    </row>
    <row r="33" customFormat="false" ht="17.15" hidden="false" customHeight="false" outlineLevel="0" collapsed="false">
      <c r="A33" s="4" t="s">
        <v>232</v>
      </c>
      <c r="B33" s="5" t="s">
        <v>201</v>
      </c>
      <c r="C33" s="5" t="n">
        <v>17</v>
      </c>
      <c r="D33" s="4" t="s">
        <v>233</v>
      </c>
      <c r="E33" s="5" t="s">
        <v>203</v>
      </c>
      <c r="F33" s="4" t="s">
        <v>204</v>
      </c>
      <c r="G33" s="4" t="s">
        <v>204</v>
      </c>
      <c r="H33" s="4" t="s">
        <v>234</v>
      </c>
      <c r="I33" s="4" t="s">
        <v>235</v>
      </c>
      <c r="J33" s="5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5" min="3" style="0" width="1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3" t="s">
        <v>54</v>
      </c>
      <c r="B1" s="3" t="s">
        <v>236</v>
      </c>
      <c r="C1" s="3" t="s">
        <v>237</v>
      </c>
      <c r="D1" s="3" t="s">
        <v>238</v>
      </c>
      <c r="E1" s="3" t="s">
        <v>239</v>
      </c>
      <c r="F1" s="3" t="s">
        <v>60</v>
      </c>
      <c r="G1" s="3" t="s">
        <v>240</v>
      </c>
    </row>
    <row r="2" customFormat="false" ht="17.15" hidden="false" customHeight="false" outlineLevel="0" collapsed="false">
      <c r="A2" s="4" t="s">
        <v>241</v>
      </c>
      <c r="B2" s="5" t="s">
        <v>242</v>
      </c>
      <c r="C2" s="4" t="s">
        <v>74</v>
      </c>
      <c r="D2" s="4" t="s">
        <v>99</v>
      </c>
      <c r="E2" s="5" t="s">
        <v>68</v>
      </c>
      <c r="F2" s="4" t="s">
        <v>100</v>
      </c>
      <c r="G2" s="5"/>
    </row>
    <row r="3" customFormat="false" ht="17.15" hidden="false" customHeight="false" outlineLevel="0" collapsed="false">
      <c r="A3" s="4" t="s">
        <v>243</v>
      </c>
      <c r="B3" s="5" t="s">
        <v>242</v>
      </c>
      <c r="C3" s="4" t="s">
        <v>66</v>
      </c>
      <c r="D3" s="4" t="s">
        <v>67</v>
      </c>
      <c r="E3" s="5" t="s">
        <v>68</v>
      </c>
      <c r="F3" s="4" t="s">
        <v>69</v>
      </c>
      <c r="G3" s="5"/>
    </row>
    <row r="4" customFormat="false" ht="17.15" hidden="false" customHeight="false" outlineLevel="0" collapsed="false">
      <c r="A4" s="4" t="s">
        <v>244</v>
      </c>
      <c r="B4" s="5" t="s">
        <v>242</v>
      </c>
      <c r="C4" s="4" t="s">
        <v>80</v>
      </c>
      <c r="D4" s="4" t="s">
        <v>81</v>
      </c>
      <c r="E4" s="5" t="s">
        <v>68</v>
      </c>
      <c r="F4" s="4" t="s">
        <v>82</v>
      </c>
      <c r="G4" s="5"/>
    </row>
    <row r="5" customFormat="false" ht="17.15" hidden="false" customHeight="false" outlineLevel="0" collapsed="false">
      <c r="A5" s="4" t="s">
        <v>245</v>
      </c>
      <c r="B5" s="5" t="s">
        <v>242</v>
      </c>
      <c r="C5" s="4" t="s">
        <v>104</v>
      </c>
      <c r="D5" s="4" t="s">
        <v>105</v>
      </c>
      <c r="E5" s="5" t="s">
        <v>68</v>
      </c>
      <c r="F5" s="4" t="s">
        <v>106</v>
      </c>
      <c r="G5" s="5"/>
    </row>
    <row r="6" customFormat="false" ht="17.15" hidden="false" customHeight="false" outlineLevel="0" collapsed="false">
      <c r="A6" s="4" t="s">
        <v>246</v>
      </c>
      <c r="B6" s="5" t="s">
        <v>242</v>
      </c>
      <c r="C6" s="4" t="s">
        <v>78</v>
      </c>
      <c r="D6" s="4" t="s">
        <v>247</v>
      </c>
      <c r="E6" s="5" t="s">
        <v>68</v>
      </c>
      <c r="F6" s="4" t="s">
        <v>248</v>
      </c>
      <c r="G6" s="5" t="s">
        <v>249</v>
      </c>
    </row>
    <row r="7" customFormat="false" ht="17.15" hidden="false" customHeight="false" outlineLevel="0" collapsed="false">
      <c r="A7" s="4" t="s">
        <v>250</v>
      </c>
      <c r="B7" s="5" t="s">
        <v>242</v>
      </c>
      <c r="C7" s="4" t="s">
        <v>110</v>
      </c>
      <c r="D7" s="4" t="s">
        <v>251</v>
      </c>
      <c r="E7" s="5" t="s">
        <v>68</v>
      </c>
      <c r="F7" s="4" t="s">
        <v>252</v>
      </c>
      <c r="G7" s="5" t="s">
        <v>253</v>
      </c>
    </row>
    <row r="8" customFormat="false" ht="17.15" hidden="false" customHeight="false" outlineLevel="0" collapsed="false">
      <c r="A8" s="4" t="s">
        <v>254</v>
      </c>
      <c r="B8" s="5" t="s">
        <v>242</v>
      </c>
      <c r="C8" s="4" t="s">
        <v>142</v>
      </c>
      <c r="D8" s="4" t="s">
        <v>67</v>
      </c>
      <c r="E8" s="5" t="s">
        <v>75</v>
      </c>
      <c r="F8" s="4" t="s">
        <v>255</v>
      </c>
      <c r="G8" s="5"/>
    </row>
    <row r="9" customFormat="false" ht="17.15" hidden="false" customHeight="false" outlineLevel="0" collapsed="false">
      <c r="A9" s="4" t="s">
        <v>256</v>
      </c>
      <c r="B9" s="5" t="s">
        <v>242</v>
      </c>
      <c r="C9" s="4" t="s">
        <v>86</v>
      </c>
      <c r="D9" s="4" t="s">
        <v>87</v>
      </c>
      <c r="E9" s="5" t="s">
        <v>75</v>
      </c>
      <c r="F9" s="4" t="s">
        <v>257</v>
      </c>
      <c r="G9" s="5"/>
    </row>
    <row r="10" customFormat="false" ht="17.15" hidden="false" customHeight="false" outlineLevel="0" collapsed="false">
      <c r="A10" s="4" t="s">
        <v>258</v>
      </c>
      <c r="B10" s="5" t="s">
        <v>242</v>
      </c>
      <c r="C10" s="4" t="s">
        <v>73</v>
      </c>
      <c r="D10" s="4" t="s">
        <v>259</v>
      </c>
      <c r="E10" s="5" t="s">
        <v>75</v>
      </c>
      <c r="F10" s="4" t="s">
        <v>260</v>
      </c>
      <c r="G10" s="5"/>
    </row>
    <row r="11" customFormat="false" ht="17.15" hidden="false" customHeight="false" outlineLevel="0" collapsed="false">
      <c r="A11" s="4" t="s">
        <v>261</v>
      </c>
      <c r="B11" s="5" t="s">
        <v>242</v>
      </c>
      <c r="C11" s="4" t="s">
        <v>111</v>
      </c>
      <c r="D11" s="4" t="s">
        <v>262</v>
      </c>
      <c r="E11" s="5" t="s">
        <v>75</v>
      </c>
      <c r="F11" s="4" t="s">
        <v>263</v>
      </c>
      <c r="G11" s="5" t="s">
        <v>264</v>
      </c>
    </row>
    <row r="12" customFormat="false" ht="17.15" hidden="false" customHeight="false" outlineLevel="0" collapsed="false">
      <c r="A12" s="4" t="s">
        <v>265</v>
      </c>
      <c r="B12" s="5" t="s">
        <v>242</v>
      </c>
      <c r="C12" s="4" t="s">
        <v>152</v>
      </c>
      <c r="D12" s="4" t="s">
        <v>151</v>
      </c>
      <c r="E12" s="5" t="s">
        <v>75</v>
      </c>
      <c r="F12" s="4" t="s">
        <v>266</v>
      </c>
      <c r="G12" s="5"/>
    </row>
    <row r="13" customFormat="false" ht="17.15" hidden="false" customHeight="false" outlineLevel="0" collapsed="false">
      <c r="A13" s="4" t="s">
        <v>267</v>
      </c>
      <c r="B13" s="5" t="s">
        <v>242</v>
      </c>
      <c r="C13" s="4" t="s">
        <v>197</v>
      </c>
      <c r="D13" s="4" t="s">
        <v>268</v>
      </c>
      <c r="E13" s="5" t="s">
        <v>75</v>
      </c>
      <c r="F13" s="4" t="s">
        <v>269</v>
      </c>
      <c r="G13" s="5" t="s">
        <v>270</v>
      </c>
    </row>
    <row r="14" customFormat="false" ht="17.15" hidden="false" customHeight="false" outlineLevel="0" collapsed="false">
      <c r="A14" s="4" t="s">
        <v>271</v>
      </c>
      <c r="B14" s="5" t="s">
        <v>242</v>
      </c>
      <c r="C14" s="4" t="s">
        <v>272</v>
      </c>
      <c r="D14" s="4" t="s">
        <v>169</v>
      </c>
      <c r="E14" s="5" t="s">
        <v>94</v>
      </c>
      <c r="F14" s="4" t="s">
        <v>273</v>
      </c>
      <c r="G14" s="5"/>
    </row>
    <row r="15" customFormat="false" ht="17.15" hidden="false" customHeight="false" outlineLevel="0" collapsed="false">
      <c r="A15" s="4" t="s">
        <v>274</v>
      </c>
      <c r="B15" s="5" t="s">
        <v>242</v>
      </c>
      <c r="C15" s="4" t="s">
        <v>275</v>
      </c>
      <c r="D15" s="4" t="s">
        <v>276</v>
      </c>
      <c r="E15" s="5" t="s">
        <v>94</v>
      </c>
      <c r="F15" s="4" t="s">
        <v>277</v>
      </c>
      <c r="G15" s="5" t="s">
        <v>278</v>
      </c>
    </row>
    <row r="16" customFormat="false" ht="17.15" hidden="false" customHeight="false" outlineLevel="0" collapsed="false">
      <c r="A16" s="4" t="s">
        <v>279</v>
      </c>
      <c r="B16" s="5" t="s">
        <v>242</v>
      </c>
      <c r="C16" s="4" t="s">
        <v>138</v>
      </c>
      <c r="D16" s="4" t="s">
        <v>139</v>
      </c>
      <c r="E16" s="5" t="s">
        <v>140</v>
      </c>
      <c r="F16" s="4" t="s">
        <v>141</v>
      </c>
      <c r="G16" s="5"/>
    </row>
    <row r="17" customFormat="false" ht="17.15" hidden="false" customHeight="false" outlineLevel="0" collapsed="false">
      <c r="A17" s="4" t="s">
        <v>280</v>
      </c>
      <c r="B17" s="5" t="s">
        <v>242</v>
      </c>
      <c r="C17" s="4" t="s">
        <v>191</v>
      </c>
      <c r="D17" s="4" t="s">
        <v>190</v>
      </c>
      <c r="E17" s="5" t="s">
        <v>140</v>
      </c>
      <c r="F17" s="4" t="s">
        <v>281</v>
      </c>
      <c r="G17" s="5"/>
    </row>
    <row r="18" customFormat="false" ht="17.15" hidden="false" customHeight="false" outlineLevel="0" collapsed="false">
      <c r="A18" s="4" t="s">
        <v>282</v>
      </c>
      <c r="B18" s="5" t="s">
        <v>283</v>
      </c>
      <c r="C18" s="4" t="s">
        <v>66</v>
      </c>
      <c r="D18" s="4" t="s">
        <v>66</v>
      </c>
      <c r="E18" s="4" t="s">
        <v>204</v>
      </c>
      <c r="F18" s="4" t="s">
        <v>204</v>
      </c>
      <c r="G18" s="5"/>
    </row>
    <row r="19" customFormat="false" ht="17.15" hidden="false" customHeight="false" outlineLevel="0" collapsed="false">
      <c r="A19" s="4" t="s">
        <v>284</v>
      </c>
      <c r="B19" s="5" t="s">
        <v>283</v>
      </c>
      <c r="C19" s="4" t="s">
        <v>74</v>
      </c>
      <c r="D19" s="4" t="s">
        <v>74</v>
      </c>
      <c r="E19" s="4" t="s">
        <v>204</v>
      </c>
      <c r="F19" s="4" t="s">
        <v>204</v>
      </c>
      <c r="G19" s="5"/>
    </row>
    <row r="20" customFormat="false" ht="17.15" hidden="false" customHeight="false" outlineLevel="0" collapsed="false">
      <c r="A20" s="4" t="s">
        <v>285</v>
      </c>
      <c r="B20" s="5" t="s">
        <v>283</v>
      </c>
      <c r="C20" s="4" t="s">
        <v>78</v>
      </c>
      <c r="D20" s="4" t="s">
        <v>78</v>
      </c>
      <c r="E20" s="4" t="s">
        <v>204</v>
      </c>
      <c r="F20" s="4" t="s">
        <v>204</v>
      </c>
      <c r="G20" s="5"/>
    </row>
    <row r="21" customFormat="false" ht="17.15" hidden="false" customHeight="false" outlineLevel="0" collapsed="false">
      <c r="A21" s="4" t="s">
        <v>286</v>
      </c>
      <c r="B21" s="5" t="s">
        <v>283</v>
      </c>
      <c r="C21" s="4" t="s">
        <v>71</v>
      </c>
      <c r="D21" s="4" t="s">
        <v>71</v>
      </c>
      <c r="E21" s="4" t="s">
        <v>204</v>
      </c>
      <c r="F21" s="4" t="s">
        <v>204</v>
      </c>
      <c r="G21" s="5"/>
    </row>
    <row r="22" customFormat="false" ht="17.15" hidden="false" customHeight="false" outlineLevel="0" collapsed="false">
      <c r="A22" s="4" t="s">
        <v>287</v>
      </c>
      <c r="B22" s="5" t="s">
        <v>283</v>
      </c>
      <c r="C22" s="4" t="s">
        <v>122</v>
      </c>
      <c r="D22" s="4" t="s">
        <v>122</v>
      </c>
      <c r="E22" s="4" t="s">
        <v>204</v>
      </c>
      <c r="F22" s="4" t="s">
        <v>204</v>
      </c>
      <c r="G22" s="5"/>
    </row>
    <row r="23" customFormat="false" ht="17.15" hidden="false" customHeight="false" outlineLevel="0" collapsed="false">
      <c r="A23" s="4" t="s">
        <v>288</v>
      </c>
      <c r="B23" s="5" t="s">
        <v>283</v>
      </c>
      <c r="C23" s="4" t="s">
        <v>169</v>
      </c>
      <c r="D23" s="4" t="s">
        <v>169</v>
      </c>
      <c r="E23" s="4" t="s">
        <v>204</v>
      </c>
      <c r="F23" s="4" t="s">
        <v>204</v>
      </c>
      <c r="G23" s="5"/>
    </row>
    <row r="24" customFormat="false" ht="17.15" hidden="false" customHeight="false" outlineLevel="0" collapsed="false">
      <c r="A24" s="4" t="s">
        <v>289</v>
      </c>
      <c r="B24" s="5" t="s">
        <v>283</v>
      </c>
      <c r="C24" s="4" t="s">
        <v>139</v>
      </c>
      <c r="D24" s="4" t="s">
        <v>139</v>
      </c>
      <c r="E24" s="4" t="s">
        <v>204</v>
      </c>
      <c r="F24" s="4" t="s">
        <v>204</v>
      </c>
      <c r="G24" s="5"/>
    </row>
    <row r="25" customFormat="false" ht="17.15" hidden="false" customHeight="false" outlineLevel="0" collapsed="false">
      <c r="A25" s="4" t="s">
        <v>290</v>
      </c>
      <c r="B25" s="5" t="s">
        <v>283</v>
      </c>
      <c r="C25" s="4" t="s">
        <v>83</v>
      </c>
      <c r="D25" s="4" t="s">
        <v>83</v>
      </c>
      <c r="E25" s="4" t="s">
        <v>204</v>
      </c>
      <c r="F25" s="4" t="s">
        <v>204</v>
      </c>
      <c r="G25" s="5"/>
    </row>
    <row r="27" customFormat="false" ht="15" hidden="false" customHeight="false" outlineLevel="0" collapsed="false">
      <c r="A27" s="14" t="s">
        <v>291</v>
      </c>
    </row>
    <row r="28" customFormat="false" ht="15" hidden="false" customHeight="false" outlineLevel="0" collapsed="false">
      <c r="A28" s="2" t="s">
        <v>292</v>
      </c>
    </row>
    <row r="29" customFormat="false" ht="15" hidden="false" customHeight="false" outlineLevel="0" collapsed="false">
      <c r="A29" s="2" t="s">
        <v>293</v>
      </c>
    </row>
    <row r="30" customFormat="false" ht="15" hidden="false" customHeight="false" outlineLevel="0" collapsed="false">
      <c r="A30" s="2" t="s">
        <v>294</v>
      </c>
    </row>
    <row r="31" customFormat="false" ht="17.15" hidden="false" customHeight="false" outlineLevel="0" collapsed="false">
      <c r="A31" s="15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6"/>
    <col collapsed="false" customWidth="true" hidden="false" outlineLevel="0" max="5" min="4" style="0" width="24"/>
    <col collapsed="false" customWidth="true" hidden="false" outlineLevel="0" max="7" min="6" style="0" width="26"/>
  </cols>
  <sheetData>
    <row r="1" customFormat="false" ht="32.8" hidden="false" customHeight="false" outlineLevel="0" collapsed="false">
      <c r="A1" s="3" t="s">
        <v>54</v>
      </c>
      <c r="B1" s="3" t="s">
        <v>296</v>
      </c>
      <c r="C1" s="3" t="s">
        <v>297</v>
      </c>
      <c r="D1" s="3" t="s">
        <v>298</v>
      </c>
      <c r="E1" s="3" t="s">
        <v>299</v>
      </c>
      <c r="F1" s="3" t="s">
        <v>300</v>
      </c>
      <c r="G1" s="3" t="s">
        <v>301</v>
      </c>
    </row>
    <row r="2" customFormat="false" ht="17.15" hidden="false" customHeight="false" outlineLevel="0" collapsed="false">
      <c r="A2" s="4" t="s">
        <v>302</v>
      </c>
      <c r="B2" s="5" t="n">
        <v>1</v>
      </c>
      <c r="C2" s="4" t="s">
        <v>303</v>
      </c>
      <c r="D2" s="5" t="s">
        <v>304</v>
      </c>
      <c r="E2" s="5" t="s">
        <v>305</v>
      </c>
      <c r="F2" s="5" t="s">
        <v>306</v>
      </c>
      <c r="G2" s="5" t="s">
        <v>307</v>
      </c>
    </row>
    <row r="3" customFormat="false" ht="17.15" hidden="false" customHeight="false" outlineLevel="0" collapsed="false">
      <c r="A3" s="4" t="s">
        <v>308</v>
      </c>
      <c r="B3" s="5" t="n">
        <v>1</v>
      </c>
      <c r="C3" s="4" t="s">
        <v>309</v>
      </c>
      <c r="D3" s="5" t="s">
        <v>310</v>
      </c>
      <c r="E3" s="5" t="s">
        <v>311</v>
      </c>
      <c r="F3" s="5" t="s">
        <v>312</v>
      </c>
      <c r="G3" s="5" t="s">
        <v>313</v>
      </c>
    </row>
    <row r="4" customFormat="false" ht="17.15" hidden="false" customHeight="false" outlineLevel="0" collapsed="false">
      <c r="A4" s="4" t="s">
        <v>314</v>
      </c>
      <c r="B4" s="5" t="n">
        <v>1</v>
      </c>
      <c r="C4" s="4" t="s">
        <v>315</v>
      </c>
      <c r="D4" s="5" t="s">
        <v>316</v>
      </c>
      <c r="E4" s="5" t="s">
        <v>317</v>
      </c>
      <c r="F4" s="5" t="s">
        <v>318</v>
      </c>
      <c r="G4" s="5" t="s">
        <v>319</v>
      </c>
    </row>
    <row r="5" customFormat="false" ht="17.15" hidden="false" customHeight="false" outlineLevel="0" collapsed="false">
      <c r="A5" s="4" t="s">
        <v>320</v>
      </c>
      <c r="B5" s="5" t="n">
        <v>1</v>
      </c>
      <c r="C5" s="4" t="s">
        <v>321</v>
      </c>
      <c r="D5" s="5" t="s">
        <v>322</v>
      </c>
      <c r="E5" s="5" t="s">
        <v>323</v>
      </c>
      <c r="F5" s="5" t="s">
        <v>324</v>
      </c>
      <c r="G5" s="5" t="s">
        <v>325</v>
      </c>
    </row>
    <row r="6" customFormat="false" ht="17.15" hidden="false" customHeight="false" outlineLevel="0" collapsed="false">
      <c r="A6" s="4" t="s">
        <v>326</v>
      </c>
      <c r="B6" s="5" t="n">
        <v>1</v>
      </c>
      <c r="C6" s="4" t="s">
        <v>327</v>
      </c>
      <c r="D6" s="5" t="s">
        <v>328</v>
      </c>
      <c r="E6" s="5" t="s">
        <v>329</v>
      </c>
      <c r="F6" s="5" t="s">
        <v>330</v>
      </c>
      <c r="G6" s="5" t="s">
        <v>331</v>
      </c>
    </row>
    <row r="7" customFormat="false" ht="17.15" hidden="false" customHeight="false" outlineLevel="0" collapsed="false">
      <c r="A7" s="4" t="s">
        <v>332</v>
      </c>
      <c r="B7" s="5" t="n">
        <v>1</v>
      </c>
      <c r="C7" s="4" t="s">
        <v>333</v>
      </c>
      <c r="D7" s="5" t="s">
        <v>334</v>
      </c>
      <c r="E7" s="5" t="s">
        <v>335</v>
      </c>
      <c r="F7" s="5" t="s">
        <v>336</v>
      </c>
      <c r="G7" s="5" t="s">
        <v>337</v>
      </c>
    </row>
    <row r="8" customFormat="false" ht="17.15" hidden="false" customHeight="false" outlineLevel="0" collapsed="false">
      <c r="A8" s="4" t="s">
        <v>338</v>
      </c>
      <c r="B8" s="5" t="n">
        <v>2</v>
      </c>
      <c r="C8" s="4" t="s">
        <v>339</v>
      </c>
      <c r="D8" s="5" t="s">
        <v>340</v>
      </c>
      <c r="E8" s="5" t="s">
        <v>341</v>
      </c>
      <c r="F8" s="5" t="s">
        <v>342</v>
      </c>
      <c r="G8" s="5" t="s">
        <v>343</v>
      </c>
    </row>
    <row r="9" customFormat="false" ht="17.15" hidden="false" customHeight="false" outlineLevel="0" collapsed="false">
      <c r="A9" s="4" t="s">
        <v>344</v>
      </c>
      <c r="B9" s="5" t="n">
        <v>2</v>
      </c>
      <c r="C9" s="4" t="s">
        <v>345</v>
      </c>
      <c r="D9" s="5" t="s">
        <v>346</v>
      </c>
      <c r="E9" s="5" t="s">
        <v>347</v>
      </c>
      <c r="F9" s="5" t="s">
        <v>348</v>
      </c>
      <c r="G9" s="5" t="s">
        <v>349</v>
      </c>
    </row>
    <row r="10" customFormat="false" ht="17.15" hidden="false" customHeight="false" outlineLevel="0" collapsed="false">
      <c r="A10" s="4" t="s">
        <v>350</v>
      </c>
      <c r="B10" s="5" t="n">
        <v>2</v>
      </c>
      <c r="C10" s="4" t="s">
        <v>351</v>
      </c>
      <c r="D10" s="5" t="s">
        <v>352</v>
      </c>
      <c r="E10" s="5" t="s">
        <v>353</v>
      </c>
      <c r="F10" s="5" t="s">
        <v>354</v>
      </c>
      <c r="G10" s="5" t="s">
        <v>355</v>
      </c>
    </row>
    <row r="11" customFormat="false" ht="17.15" hidden="false" customHeight="false" outlineLevel="0" collapsed="false">
      <c r="A11" s="4" t="s">
        <v>356</v>
      </c>
      <c r="B11" s="5" t="n">
        <v>2</v>
      </c>
      <c r="C11" s="4" t="s">
        <v>357</v>
      </c>
      <c r="D11" s="5" t="s">
        <v>358</v>
      </c>
      <c r="E11" s="5" t="s">
        <v>359</v>
      </c>
      <c r="F11" s="5" t="s">
        <v>360</v>
      </c>
      <c r="G11" s="5" t="s">
        <v>361</v>
      </c>
    </row>
    <row r="12" customFormat="false" ht="17.15" hidden="false" customHeight="false" outlineLevel="0" collapsed="false">
      <c r="A12" s="4" t="s">
        <v>362</v>
      </c>
      <c r="B12" s="5" t="n">
        <v>2</v>
      </c>
      <c r="C12" s="4" t="s">
        <v>363</v>
      </c>
      <c r="D12" s="5" t="s">
        <v>364</v>
      </c>
      <c r="E12" s="5" t="s">
        <v>365</v>
      </c>
      <c r="F12" s="5" t="s">
        <v>366</v>
      </c>
      <c r="G12" s="5" t="s">
        <v>367</v>
      </c>
    </row>
    <row r="13" customFormat="false" ht="17.15" hidden="false" customHeight="false" outlineLevel="0" collapsed="false">
      <c r="A13" s="4" t="s">
        <v>368</v>
      </c>
      <c r="B13" s="5" t="n">
        <v>2</v>
      </c>
      <c r="C13" s="4" t="s">
        <v>369</v>
      </c>
      <c r="D13" s="5" t="s">
        <v>370</v>
      </c>
      <c r="E13" s="5" t="s">
        <v>371</v>
      </c>
      <c r="F13" s="5" t="s">
        <v>372</v>
      </c>
      <c r="G13" s="5" t="s">
        <v>373</v>
      </c>
    </row>
    <row r="14" customFormat="false" ht="17.15" hidden="false" customHeight="false" outlineLevel="0" collapsed="false">
      <c r="A14" s="4" t="s">
        <v>374</v>
      </c>
      <c r="B14" s="5" t="n">
        <v>3</v>
      </c>
      <c r="C14" s="4" t="s">
        <v>375</v>
      </c>
      <c r="D14" s="5" t="s">
        <v>376</v>
      </c>
      <c r="E14" s="5" t="s">
        <v>377</v>
      </c>
      <c r="F14" s="5" t="s">
        <v>378</v>
      </c>
      <c r="G14" s="5" t="s">
        <v>379</v>
      </c>
    </row>
    <row r="15" customFormat="false" ht="17.15" hidden="false" customHeight="false" outlineLevel="0" collapsed="false">
      <c r="A15" s="4" t="s">
        <v>380</v>
      </c>
      <c r="B15" s="5" t="n">
        <v>3</v>
      </c>
      <c r="C15" s="4" t="s">
        <v>381</v>
      </c>
      <c r="D15" s="5" t="s">
        <v>382</v>
      </c>
      <c r="E15" s="5" t="s">
        <v>383</v>
      </c>
      <c r="F15" s="5" t="s">
        <v>384</v>
      </c>
      <c r="G15" s="5" t="s">
        <v>385</v>
      </c>
    </row>
    <row r="16" customFormat="false" ht="17.15" hidden="false" customHeight="false" outlineLevel="0" collapsed="false">
      <c r="A16" s="4" t="s">
        <v>386</v>
      </c>
      <c r="B16" s="5" t="n">
        <v>3</v>
      </c>
      <c r="C16" s="4" t="s">
        <v>387</v>
      </c>
      <c r="D16" s="5" t="s">
        <v>388</v>
      </c>
      <c r="E16" s="5" t="s">
        <v>389</v>
      </c>
      <c r="F16" s="5" t="s">
        <v>390</v>
      </c>
      <c r="G16" s="5" t="s">
        <v>391</v>
      </c>
    </row>
    <row r="17" customFormat="false" ht="17.15" hidden="false" customHeight="false" outlineLevel="0" collapsed="false">
      <c r="A17" s="4" t="s">
        <v>392</v>
      </c>
      <c r="B17" s="5" t="n">
        <v>3</v>
      </c>
      <c r="C17" s="4" t="s">
        <v>393</v>
      </c>
      <c r="D17" s="5" t="s">
        <v>394</v>
      </c>
      <c r="E17" s="5" t="s">
        <v>395</v>
      </c>
      <c r="F17" s="5" t="s">
        <v>396</v>
      </c>
      <c r="G17" s="5" t="s">
        <v>397</v>
      </c>
    </row>
    <row r="18" customFormat="false" ht="17.15" hidden="false" customHeight="false" outlineLevel="0" collapsed="false">
      <c r="A18" s="4" t="s">
        <v>398</v>
      </c>
      <c r="B18" s="5" t="n">
        <v>3</v>
      </c>
      <c r="C18" s="4" t="s">
        <v>399</v>
      </c>
      <c r="D18" s="5" t="s">
        <v>400</v>
      </c>
      <c r="E18" s="5" t="s">
        <v>401</v>
      </c>
      <c r="F18" s="5" t="s">
        <v>402</v>
      </c>
      <c r="G18" s="5" t="s">
        <v>403</v>
      </c>
    </row>
    <row r="19" customFormat="false" ht="17.15" hidden="false" customHeight="false" outlineLevel="0" collapsed="false">
      <c r="A19" s="4" t="s">
        <v>404</v>
      </c>
      <c r="B19" s="5" t="n">
        <v>3</v>
      </c>
      <c r="C19" s="4" t="s">
        <v>405</v>
      </c>
      <c r="D19" s="5" t="s">
        <v>406</v>
      </c>
      <c r="E19" s="5" t="s">
        <v>407</v>
      </c>
      <c r="F19" s="5" t="s">
        <v>408</v>
      </c>
      <c r="G19" s="5" t="s">
        <v>409</v>
      </c>
    </row>
    <row r="21" customFormat="false" ht="15" hidden="false" customHeight="false" outlineLevel="0" collapsed="false">
      <c r="A21" s="14" t="s">
        <v>291</v>
      </c>
    </row>
    <row r="22" customFormat="false" ht="17.15" hidden="false" customHeight="false" outlineLevel="0" collapsed="false">
      <c r="A22" s="2" t="s">
        <v>410</v>
      </c>
    </row>
    <row r="23" customFormat="false" ht="17.15" hidden="false" customHeight="false" outlineLevel="0" collapsed="false">
      <c r="A23" s="2" t="s">
        <v>411</v>
      </c>
    </row>
    <row r="24" customFormat="false" ht="15" hidden="false" customHeight="false" outlineLevel="0" collapsed="false">
      <c r="A24" s="2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18"/>
  </cols>
  <sheetData>
    <row r="1" customFormat="false" ht="32.8" hidden="false" customHeight="false" outlineLevel="0" collapsed="false">
      <c r="A1" s="3" t="s">
        <v>413</v>
      </c>
      <c r="B1" s="3" t="s">
        <v>414</v>
      </c>
      <c r="C1" s="3" t="s">
        <v>415</v>
      </c>
      <c r="D1" s="3" t="s">
        <v>416</v>
      </c>
      <c r="E1" s="3" t="s">
        <v>417</v>
      </c>
      <c r="F1" s="3" t="s">
        <v>418</v>
      </c>
    </row>
    <row r="2" customFormat="false" ht="17.15" hidden="false" customHeight="false" outlineLevel="0" collapsed="false">
      <c r="A2" s="5" t="n">
        <v>1</v>
      </c>
      <c r="B2" s="4" t="s">
        <v>66</v>
      </c>
      <c r="C2" s="5" t="s">
        <v>419</v>
      </c>
      <c r="D2" s="5" t="n">
        <v>5</v>
      </c>
      <c r="E2" s="4" t="s">
        <v>420</v>
      </c>
      <c r="F2" s="4" t="s">
        <v>421</v>
      </c>
    </row>
    <row r="3" customFormat="false" ht="17.15" hidden="false" customHeight="false" outlineLevel="0" collapsed="false">
      <c r="A3" s="5" t="n">
        <v>1</v>
      </c>
      <c r="B3" s="4" t="s">
        <v>142</v>
      </c>
      <c r="C3" s="5" t="s">
        <v>419</v>
      </c>
      <c r="D3" s="5" t="n">
        <v>1</v>
      </c>
      <c r="E3" s="4" t="s">
        <v>67</v>
      </c>
      <c r="F3" s="4" t="s">
        <v>422</v>
      </c>
    </row>
    <row r="4" customFormat="false" ht="17.15" hidden="false" customHeight="false" outlineLevel="0" collapsed="false">
      <c r="A4" s="5" t="n">
        <v>1</v>
      </c>
      <c r="B4" s="4" t="s">
        <v>70</v>
      </c>
      <c r="C4" s="5" t="s">
        <v>419</v>
      </c>
      <c r="D4" s="5" t="n">
        <v>2</v>
      </c>
      <c r="E4" s="4" t="s">
        <v>423</v>
      </c>
      <c r="F4" s="4" t="s">
        <v>424</v>
      </c>
    </row>
    <row r="5" customFormat="false" ht="17.15" hidden="false" customHeight="false" outlineLevel="0" collapsed="false">
      <c r="A5" s="5" t="n">
        <v>1</v>
      </c>
      <c r="B5" s="4" t="s">
        <v>425</v>
      </c>
      <c r="C5" s="5" t="s">
        <v>426</v>
      </c>
      <c r="D5" s="5" t="n">
        <v>3</v>
      </c>
      <c r="E5" s="4" t="s">
        <v>427</v>
      </c>
      <c r="F5" s="4" t="s">
        <v>428</v>
      </c>
    </row>
    <row r="6" customFormat="false" ht="17.15" hidden="false" customHeight="false" outlineLevel="0" collapsed="false">
      <c r="A6" s="5" t="n">
        <v>1</v>
      </c>
      <c r="B6" s="4" t="s">
        <v>73</v>
      </c>
      <c r="C6" s="5" t="s">
        <v>419</v>
      </c>
      <c r="D6" s="5" t="n">
        <v>4</v>
      </c>
      <c r="E6" s="4" t="s">
        <v>429</v>
      </c>
      <c r="F6" s="4" t="s">
        <v>421</v>
      </c>
    </row>
    <row r="7" customFormat="false" ht="17.15" hidden="false" customHeight="false" outlineLevel="0" collapsed="false">
      <c r="A7" s="5" t="n">
        <v>1</v>
      </c>
      <c r="B7" s="4" t="s">
        <v>430</v>
      </c>
      <c r="C7" s="5" t="s">
        <v>426</v>
      </c>
      <c r="D7" s="5" t="n">
        <v>3</v>
      </c>
      <c r="E7" s="4" t="s">
        <v>431</v>
      </c>
      <c r="F7" s="4" t="s">
        <v>428</v>
      </c>
    </row>
    <row r="8" customFormat="false" ht="17.15" hidden="false" customHeight="false" outlineLevel="0" collapsed="false">
      <c r="A8" s="5" t="n">
        <v>2</v>
      </c>
      <c r="B8" s="4" t="s">
        <v>80</v>
      </c>
      <c r="C8" s="5" t="s">
        <v>419</v>
      </c>
      <c r="D8" s="5" t="n">
        <v>6</v>
      </c>
      <c r="E8" s="4" t="s">
        <v>432</v>
      </c>
      <c r="F8" s="4" t="s">
        <v>421</v>
      </c>
    </row>
    <row r="9" customFormat="false" ht="17.15" hidden="false" customHeight="false" outlineLevel="0" collapsed="false">
      <c r="A9" s="5" t="n">
        <v>2</v>
      </c>
      <c r="B9" s="4" t="s">
        <v>111</v>
      </c>
      <c r="C9" s="5" t="s">
        <v>419</v>
      </c>
      <c r="D9" s="5" t="n">
        <v>5</v>
      </c>
      <c r="E9" s="4" t="s">
        <v>433</v>
      </c>
      <c r="F9" s="4" t="s">
        <v>434</v>
      </c>
    </row>
    <row r="10" customFormat="false" ht="17.15" hidden="false" customHeight="false" outlineLevel="0" collapsed="false">
      <c r="A10" s="5" t="n">
        <v>2</v>
      </c>
      <c r="B10" s="4" t="s">
        <v>86</v>
      </c>
      <c r="C10" s="5" t="s">
        <v>419</v>
      </c>
      <c r="D10" s="5" t="n">
        <v>5</v>
      </c>
      <c r="E10" s="4" t="s">
        <v>435</v>
      </c>
      <c r="F10" s="4" t="s">
        <v>436</v>
      </c>
    </row>
    <row r="11" customFormat="false" ht="17.15" hidden="false" customHeight="false" outlineLevel="0" collapsed="false">
      <c r="A11" s="5" t="n">
        <v>2</v>
      </c>
      <c r="B11" s="4" t="s">
        <v>78</v>
      </c>
      <c r="C11" s="5" t="s">
        <v>419</v>
      </c>
      <c r="D11" s="5" t="n">
        <v>2</v>
      </c>
      <c r="E11" s="4" t="s">
        <v>437</v>
      </c>
      <c r="F11" s="4" t="s">
        <v>421</v>
      </c>
    </row>
    <row r="12" customFormat="false" ht="17.15" hidden="false" customHeight="false" outlineLevel="0" collapsed="false">
      <c r="A12" s="5" t="n">
        <v>2</v>
      </c>
      <c r="B12" s="4" t="s">
        <v>74</v>
      </c>
      <c r="C12" s="5" t="s">
        <v>419</v>
      </c>
      <c r="D12" s="5" t="n">
        <v>5</v>
      </c>
      <c r="E12" s="4" t="s">
        <v>438</v>
      </c>
      <c r="F12" s="4" t="s">
        <v>436</v>
      </c>
    </row>
    <row r="13" customFormat="false" ht="17.15" hidden="false" customHeight="false" outlineLevel="0" collapsed="false">
      <c r="A13" s="5" t="n">
        <v>2</v>
      </c>
      <c r="B13" s="4" t="s">
        <v>132</v>
      </c>
      <c r="C13" s="5" t="s">
        <v>426</v>
      </c>
      <c r="D13" s="5" t="n">
        <v>4</v>
      </c>
      <c r="E13" s="4" t="s">
        <v>439</v>
      </c>
      <c r="F13" s="4" t="s">
        <v>440</v>
      </c>
    </row>
    <row r="14" customFormat="false" ht="17.15" hidden="false" customHeight="false" outlineLevel="0" collapsed="false">
      <c r="A14" s="5" t="n">
        <v>2</v>
      </c>
      <c r="B14" s="4" t="s">
        <v>441</v>
      </c>
      <c r="C14" s="5" t="s">
        <v>426</v>
      </c>
      <c r="D14" s="5" t="n">
        <v>2</v>
      </c>
      <c r="E14" s="4" t="s">
        <v>442</v>
      </c>
      <c r="F14" s="5"/>
    </row>
    <row r="15" customFormat="false" ht="17.15" hidden="false" customHeight="false" outlineLevel="0" collapsed="false">
      <c r="A15" s="5" t="n">
        <v>2</v>
      </c>
      <c r="B15" s="4" t="s">
        <v>104</v>
      </c>
      <c r="C15" s="5" t="s">
        <v>419</v>
      </c>
      <c r="D15" s="5" t="n">
        <v>1</v>
      </c>
      <c r="E15" s="4" t="s">
        <v>105</v>
      </c>
      <c r="F15" s="4" t="s">
        <v>436</v>
      </c>
    </row>
    <row r="16" customFormat="false" ht="17.15" hidden="false" customHeight="false" outlineLevel="0" collapsed="false">
      <c r="A16" s="5" t="n">
        <v>2</v>
      </c>
      <c r="B16" s="4" t="s">
        <v>87</v>
      </c>
      <c r="C16" s="5" t="s">
        <v>419</v>
      </c>
      <c r="D16" s="5" t="n">
        <v>2</v>
      </c>
      <c r="E16" s="4" t="s">
        <v>443</v>
      </c>
      <c r="F16" s="4" t="s">
        <v>434</v>
      </c>
    </row>
    <row r="17" customFormat="false" ht="17.15" hidden="false" customHeight="false" outlineLevel="0" collapsed="false">
      <c r="A17" s="5" t="n">
        <v>2</v>
      </c>
      <c r="B17" s="4" t="s">
        <v>99</v>
      </c>
      <c r="C17" s="5" t="s">
        <v>419</v>
      </c>
      <c r="D17" s="5" t="n">
        <v>3</v>
      </c>
      <c r="E17" s="4" t="s">
        <v>444</v>
      </c>
      <c r="F17" s="4" t="s">
        <v>434</v>
      </c>
    </row>
    <row r="18" customFormat="false" ht="17.15" hidden="false" customHeight="false" outlineLevel="0" collapsed="false">
      <c r="A18" s="5" t="n">
        <v>2</v>
      </c>
      <c r="B18" s="4" t="s">
        <v>136</v>
      </c>
      <c r="C18" s="5" t="s">
        <v>419</v>
      </c>
      <c r="D18" s="5" t="n">
        <v>0</v>
      </c>
      <c r="E18" s="5"/>
      <c r="F18" s="4" t="s">
        <v>424</v>
      </c>
    </row>
    <row r="19" customFormat="false" ht="17.15" hidden="false" customHeight="false" outlineLevel="0" collapsed="false">
      <c r="A19" s="5" t="n">
        <v>2</v>
      </c>
      <c r="B19" s="4" t="s">
        <v>105</v>
      </c>
      <c r="C19" s="5" t="s">
        <v>419</v>
      </c>
      <c r="D19" s="5" t="n">
        <v>3</v>
      </c>
      <c r="E19" s="4" t="s">
        <v>445</v>
      </c>
      <c r="F19" s="4" t="s">
        <v>434</v>
      </c>
    </row>
    <row r="20" customFormat="false" ht="17.15" hidden="false" customHeight="false" outlineLevel="0" collapsed="false">
      <c r="A20" s="5" t="n">
        <v>2</v>
      </c>
      <c r="B20" s="4" t="s">
        <v>110</v>
      </c>
      <c r="C20" s="5" t="s">
        <v>419</v>
      </c>
      <c r="D20" s="5" t="n">
        <v>2</v>
      </c>
      <c r="E20" s="4" t="s">
        <v>446</v>
      </c>
      <c r="F20" s="4" t="s">
        <v>421</v>
      </c>
    </row>
    <row r="21" customFormat="false" ht="17.15" hidden="false" customHeight="false" outlineLevel="0" collapsed="false">
      <c r="A21" s="5" t="n">
        <v>2</v>
      </c>
      <c r="B21" s="4" t="s">
        <v>108</v>
      </c>
      <c r="C21" s="5" t="s">
        <v>419</v>
      </c>
      <c r="D21" s="5" t="n">
        <v>0</v>
      </c>
      <c r="E21" s="5"/>
      <c r="F21" s="4" t="s">
        <v>447</v>
      </c>
    </row>
    <row r="22" customFormat="false" ht="17.15" hidden="false" customHeight="false" outlineLevel="0" collapsed="false">
      <c r="A22" s="5" t="n">
        <v>2</v>
      </c>
      <c r="B22" s="4" t="s">
        <v>71</v>
      </c>
      <c r="C22" s="5" t="s">
        <v>419</v>
      </c>
      <c r="D22" s="5" t="n">
        <v>1</v>
      </c>
      <c r="E22" s="4" t="s">
        <v>116</v>
      </c>
      <c r="F22" s="4" t="s">
        <v>421</v>
      </c>
    </row>
    <row r="23" customFormat="false" ht="17.15" hidden="false" customHeight="false" outlineLevel="0" collapsed="false">
      <c r="A23" s="5" t="n">
        <v>2</v>
      </c>
      <c r="B23" s="4" t="s">
        <v>116</v>
      </c>
      <c r="C23" s="5" t="s">
        <v>426</v>
      </c>
      <c r="D23" s="5" t="n">
        <v>2</v>
      </c>
      <c r="E23" s="4" t="s">
        <v>448</v>
      </c>
      <c r="F23" s="4" t="s">
        <v>424</v>
      </c>
    </row>
    <row r="24" customFormat="false" ht="17.15" hidden="false" customHeight="false" outlineLevel="0" collapsed="false">
      <c r="A24" s="5" t="n">
        <v>2</v>
      </c>
      <c r="B24" s="4" t="s">
        <v>67</v>
      </c>
      <c r="C24" s="5" t="s">
        <v>426</v>
      </c>
      <c r="D24" s="5" t="n">
        <v>2</v>
      </c>
      <c r="E24" s="4" t="s">
        <v>449</v>
      </c>
      <c r="F24" s="4" t="s">
        <v>434</v>
      </c>
    </row>
    <row r="25" customFormat="false" ht="17.15" hidden="false" customHeight="false" outlineLevel="0" collapsed="false">
      <c r="A25" s="5" t="n">
        <v>2</v>
      </c>
      <c r="B25" s="4" t="s">
        <v>81</v>
      </c>
      <c r="C25" s="5" t="s">
        <v>426</v>
      </c>
      <c r="D25" s="5" t="n">
        <v>2</v>
      </c>
      <c r="E25" s="4" t="s">
        <v>450</v>
      </c>
      <c r="F25" s="4" t="s">
        <v>422</v>
      </c>
    </row>
    <row r="26" customFormat="false" ht="17.15" hidden="false" customHeight="false" outlineLevel="0" collapsed="false">
      <c r="A26" s="5" t="n">
        <v>2</v>
      </c>
      <c r="B26" s="4" t="s">
        <v>451</v>
      </c>
      <c r="C26" s="5" t="s">
        <v>426</v>
      </c>
      <c r="D26" s="5" t="n">
        <v>2</v>
      </c>
      <c r="E26" s="4" t="s">
        <v>452</v>
      </c>
      <c r="F26" s="4" t="s">
        <v>428</v>
      </c>
    </row>
    <row r="27" customFormat="false" ht="17.15" hidden="false" customHeight="false" outlineLevel="0" collapsed="false">
      <c r="A27" s="5" t="n">
        <v>2</v>
      </c>
      <c r="B27" s="4" t="s">
        <v>453</v>
      </c>
      <c r="C27" s="5" t="s">
        <v>426</v>
      </c>
      <c r="D27" s="5" t="n">
        <v>1</v>
      </c>
      <c r="E27" s="4" t="s">
        <v>170</v>
      </c>
      <c r="F27" s="4" t="s">
        <v>428</v>
      </c>
    </row>
    <row r="28" customFormat="false" ht="17.15" hidden="false" customHeight="false" outlineLevel="0" collapsed="false">
      <c r="A28" s="5" t="n">
        <v>2</v>
      </c>
      <c r="B28" s="4" t="s">
        <v>454</v>
      </c>
      <c r="C28" s="5" t="s">
        <v>426</v>
      </c>
      <c r="D28" s="5" t="n">
        <v>5</v>
      </c>
      <c r="E28" s="4" t="s">
        <v>455</v>
      </c>
      <c r="F28" s="5"/>
    </row>
    <row r="29" customFormat="false" ht="17.15" hidden="false" customHeight="false" outlineLevel="0" collapsed="false">
      <c r="A29" s="5" t="n">
        <v>2</v>
      </c>
      <c r="B29" s="4" t="s">
        <v>456</v>
      </c>
      <c r="C29" s="5" t="s">
        <v>426</v>
      </c>
      <c r="D29" s="5" t="n">
        <v>0</v>
      </c>
      <c r="E29" s="5"/>
      <c r="F29" s="4" t="s">
        <v>428</v>
      </c>
    </row>
    <row r="30" customFormat="false" ht="17.15" hidden="false" customHeight="false" outlineLevel="0" collapsed="false">
      <c r="A30" s="5" t="n">
        <v>2</v>
      </c>
      <c r="B30" s="4" t="s">
        <v>84</v>
      </c>
      <c r="C30" s="5" t="s">
        <v>419</v>
      </c>
      <c r="D30" s="5" t="n">
        <v>0</v>
      </c>
      <c r="E30" s="5"/>
      <c r="F30" s="4" t="s">
        <v>440</v>
      </c>
    </row>
    <row r="31" customFormat="false" ht="17.15" hidden="false" customHeight="false" outlineLevel="0" collapsed="false">
      <c r="A31" s="5" t="n">
        <v>2</v>
      </c>
      <c r="B31" s="4" t="s">
        <v>457</v>
      </c>
      <c r="C31" s="5" t="s">
        <v>419</v>
      </c>
      <c r="D31" s="5" t="n">
        <v>2</v>
      </c>
      <c r="E31" s="4" t="s">
        <v>458</v>
      </c>
      <c r="F31" s="4" t="s">
        <v>428</v>
      </c>
    </row>
    <row r="32" customFormat="false" ht="17.15" hidden="false" customHeight="false" outlineLevel="0" collapsed="false">
      <c r="A32" s="5" t="n">
        <v>2</v>
      </c>
      <c r="B32" s="4" t="s">
        <v>170</v>
      </c>
      <c r="C32" s="5" t="s">
        <v>419</v>
      </c>
      <c r="D32" s="5" t="n">
        <v>3</v>
      </c>
      <c r="E32" s="4" t="s">
        <v>459</v>
      </c>
      <c r="F32" s="4" t="s">
        <v>447</v>
      </c>
    </row>
    <row r="33" customFormat="false" ht="17.15" hidden="false" customHeight="false" outlineLevel="0" collapsed="false">
      <c r="A33" s="5" t="n">
        <v>2</v>
      </c>
      <c r="B33" s="4" t="s">
        <v>122</v>
      </c>
      <c r="C33" s="5" t="s">
        <v>419</v>
      </c>
      <c r="D33" s="5" t="n">
        <v>2</v>
      </c>
      <c r="E33" s="4" t="s">
        <v>460</v>
      </c>
      <c r="F33" s="4" t="s">
        <v>434</v>
      </c>
    </row>
    <row r="34" customFormat="false" ht="17.15" hidden="false" customHeight="false" outlineLevel="0" collapsed="false">
      <c r="A34" s="5" t="n">
        <v>2</v>
      </c>
      <c r="B34" s="4" t="s">
        <v>121</v>
      </c>
      <c r="C34" s="5" t="s">
        <v>419</v>
      </c>
      <c r="D34" s="5" t="n">
        <v>3</v>
      </c>
      <c r="E34" s="4" t="s">
        <v>461</v>
      </c>
      <c r="F34" s="4" t="s">
        <v>440</v>
      </c>
    </row>
    <row r="35" customFormat="false" ht="17.15" hidden="false" customHeight="false" outlineLevel="0" collapsed="false">
      <c r="A35" s="5" t="n">
        <v>2</v>
      </c>
      <c r="B35" s="4" t="s">
        <v>133</v>
      </c>
      <c r="C35" s="5" t="s">
        <v>426</v>
      </c>
      <c r="D35" s="5" t="n">
        <v>4</v>
      </c>
      <c r="E35" s="4" t="s">
        <v>462</v>
      </c>
      <c r="F35" s="4" t="s">
        <v>447</v>
      </c>
    </row>
    <row r="36" customFormat="false" ht="17.15" hidden="false" customHeight="false" outlineLevel="0" collapsed="false">
      <c r="A36" s="5" t="n">
        <v>2</v>
      </c>
      <c r="B36" s="4" t="s">
        <v>463</v>
      </c>
      <c r="C36" s="5" t="s">
        <v>464</v>
      </c>
      <c r="D36" s="5" t="n">
        <v>1</v>
      </c>
      <c r="E36" s="4" t="s">
        <v>465</v>
      </c>
      <c r="F36" s="5"/>
    </row>
    <row r="37" customFormat="false" ht="17.15" hidden="false" customHeight="false" outlineLevel="0" collapsed="false">
      <c r="A37" s="5" t="n">
        <v>2</v>
      </c>
      <c r="B37" s="4" t="s">
        <v>466</v>
      </c>
      <c r="C37" s="5" t="s">
        <v>426</v>
      </c>
      <c r="D37" s="5" t="n">
        <v>2</v>
      </c>
      <c r="E37" s="4" t="s">
        <v>467</v>
      </c>
      <c r="F37" s="5"/>
    </row>
    <row r="38" customFormat="false" ht="17.15" hidden="false" customHeight="false" outlineLevel="0" collapsed="false">
      <c r="A38" s="5" t="n">
        <v>2</v>
      </c>
      <c r="B38" s="4" t="s">
        <v>272</v>
      </c>
      <c r="C38" s="5" t="s">
        <v>426</v>
      </c>
      <c r="D38" s="5" t="n">
        <v>2</v>
      </c>
      <c r="E38" s="4" t="s">
        <v>468</v>
      </c>
      <c r="F38" s="4" t="s">
        <v>469</v>
      </c>
    </row>
    <row r="39" customFormat="false" ht="17.15" hidden="false" customHeight="false" outlineLevel="0" collapsed="false">
      <c r="A39" s="5" t="n">
        <v>2</v>
      </c>
      <c r="B39" s="4" t="s">
        <v>470</v>
      </c>
      <c r="C39" s="5" t="s">
        <v>419</v>
      </c>
      <c r="D39" s="5" t="n">
        <v>0</v>
      </c>
      <c r="E39" s="5"/>
      <c r="F39" s="5"/>
    </row>
    <row r="40" customFormat="false" ht="17.15" hidden="false" customHeight="false" outlineLevel="0" collapsed="false">
      <c r="A40" s="5" t="n">
        <v>2</v>
      </c>
      <c r="B40" s="4" t="s">
        <v>465</v>
      </c>
      <c r="C40" s="5" t="s">
        <v>426</v>
      </c>
      <c r="D40" s="5" t="n">
        <v>2</v>
      </c>
      <c r="E40" s="4" t="s">
        <v>471</v>
      </c>
      <c r="F40" s="4" t="s">
        <v>428</v>
      </c>
    </row>
    <row r="41" customFormat="false" ht="17.15" hidden="false" customHeight="false" outlineLevel="0" collapsed="false">
      <c r="A41" s="5" t="n">
        <v>2</v>
      </c>
      <c r="B41" s="4" t="s">
        <v>472</v>
      </c>
      <c r="C41" s="5" t="s">
        <v>426</v>
      </c>
      <c r="D41" s="5" t="n">
        <v>1</v>
      </c>
      <c r="E41" s="4" t="s">
        <v>105</v>
      </c>
      <c r="F41" s="5"/>
    </row>
    <row r="42" customFormat="false" ht="17.15" hidden="false" customHeight="false" outlineLevel="0" collapsed="false">
      <c r="A42" s="5" t="n">
        <v>2</v>
      </c>
      <c r="B42" s="4" t="s">
        <v>473</v>
      </c>
      <c r="C42" s="5" t="s">
        <v>464</v>
      </c>
      <c r="D42" s="5" t="n">
        <v>0</v>
      </c>
      <c r="E42" s="5"/>
      <c r="F42" s="5"/>
    </row>
    <row r="43" customFormat="false" ht="17.15" hidden="false" customHeight="false" outlineLevel="0" collapsed="false">
      <c r="A43" s="5" t="n">
        <v>2</v>
      </c>
      <c r="B43" s="4" t="s">
        <v>474</v>
      </c>
      <c r="C43" s="5" t="s">
        <v>426</v>
      </c>
      <c r="D43" s="5" t="n">
        <v>6</v>
      </c>
      <c r="E43" s="4" t="s">
        <v>475</v>
      </c>
      <c r="F43" s="5"/>
    </row>
    <row r="44" customFormat="false" ht="17.15" hidden="false" customHeight="false" outlineLevel="0" collapsed="false">
      <c r="A44" s="5" t="n">
        <v>2</v>
      </c>
      <c r="B44" s="4" t="s">
        <v>476</v>
      </c>
      <c r="C44" s="5" t="s">
        <v>464</v>
      </c>
      <c r="D44" s="5" t="n">
        <v>1</v>
      </c>
      <c r="E44" s="4" t="s">
        <v>466</v>
      </c>
      <c r="F44" s="5"/>
    </row>
    <row r="45" customFormat="false" ht="17.15" hidden="false" customHeight="false" outlineLevel="0" collapsed="false">
      <c r="A45" s="5" t="n">
        <v>2</v>
      </c>
      <c r="B45" s="4" t="s">
        <v>477</v>
      </c>
      <c r="C45" s="5" t="s">
        <v>464</v>
      </c>
      <c r="D45" s="5" t="n">
        <v>4</v>
      </c>
      <c r="E45" s="4" t="s">
        <v>478</v>
      </c>
      <c r="F45" s="5"/>
    </row>
    <row r="46" customFormat="false" ht="17.15" hidden="false" customHeight="false" outlineLevel="0" collapsed="false">
      <c r="A46" s="5" t="n">
        <v>2</v>
      </c>
      <c r="B46" s="4" t="s">
        <v>479</v>
      </c>
      <c r="C46" s="5" t="s">
        <v>464</v>
      </c>
      <c r="D46" s="5" t="n">
        <v>0</v>
      </c>
      <c r="E46" s="5"/>
      <c r="F46" s="4" t="s">
        <v>428</v>
      </c>
    </row>
    <row r="47" customFormat="false" ht="17.15" hidden="false" customHeight="false" outlineLevel="0" collapsed="false">
      <c r="A47" s="5" t="n">
        <v>3</v>
      </c>
      <c r="B47" s="4" t="s">
        <v>154</v>
      </c>
      <c r="C47" s="5" t="s">
        <v>419</v>
      </c>
      <c r="D47" s="5" t="n">
        <v>0</v>
      </c>
      <c r="E47" s="5"/>
      <c r="F47" s="4" t="s">
        <v>424</v>
      </c>
    </row>
    <row r="48" customFormat="false" ht="17.15" hidden="false" customHeight="false" outlineLevel="0" collapsed="false">
      <c r="A48" s="5" t="n">
        <v>3</v>
      </c>
      <c r="B48" s="4" t="s">
        <v>138</v>
      </c>
      <c r="C48" s="5" t="s">
        <v>419</v>
      </c>
      <c r="D48" s="5" t="n">
        <v>1</v>
      </c>
      <c r="E48" s="4" t="s">
        <v>139</v>
      </c>
      <c r="F48" s="4" t="s">
        <v>436</v>
      </c>
    </row>
    <row r="49" customFormat="false" ht="17.15" hidden="false" customHeight="false" outlineLevel="0" collapsed="false">
      <c r="A49" s="5" t="n">
        <v>3</v>
      </c>
      <c r="B49" s="4" t="s">
        <v>139</v>
      </c>
      <c r="C49" s="5" t="s">
        <v>419</v>
      </c>
      <c r="D49" s="5" t="n">
        <v>1</v>
      </c>
      <c r="E49" s="4" t="s">
        <v>138</v>
      </c>
      <c r="F49" s="4" t="s">
        <v>434</v>
      </c>
    </row>
    <row r="50" customFormat="false" ht="17.15" hidden="false" customHeight="false" outlineLevel="0" collapsed="false">
      <c r="A50" s="5" t="n">
        <v>3</v>
      </c>
      <c r="B50" s="4" t="s">
        <v>107</v>
      </c>
      <c r="C50" s="5" t="s">
        <v>419</v>
      </c>
      <c r="D50" s="5" t="n">
        <v>1</v>
      </c>
      <c r="E50" s="4" t="s">
        <v>145</v>
      </c>
      <c r="F50" s="4" t="s">
        <v>440</v>
      </c>
    </row>
    <row r="51" customFormat="false" ht="17.15" hidden="false" customHeight="false" outlineLevel="0" collapsed="false">
      <c r="A51" s="5" t="n">
        <v>3</v>
      </c>
      <c r="B51" s="4" t="s">
        <v>129</v>
      </c>
      <c r="C51" s="5" t="s">
        <v>419</v>
      </c>
      <c r="D51" s="5" t="n">
        <v>0</v>
      </c>
      <c r="E51" s="5"/>
      <c r="F51" s="4" t="s">
        <v>424</v>
      </c>
    </row>
    <row r="52" customFormat="false" ht="17.15" hidden="false" customHeight="false" outlineLevel="0" collapsed="false">
      <c r="A52" s="5" t="n">
        <v>3</v>
      </c>
      <c r="B52" s="4" t="s">
        <v>143</v>
      </c>
      <c r="C52" s="5" t="s">
        <v>419</v>
      </c>
      <c r="D52" s="5" t="n">
        <v>0</v>
      </c>
      <c r="E52" s="5"/>
      <c r="F52" s="4" t="s">
        <v>447</v>
      </c>
    </row>
    <row r="53" customFormat="false" ht="17.15" hidden="false" customHeight="false" outlineLevel="0" collapsed="false">
      <c r="A53" s="5" t="n">
        <v>3</v>
      </c>
      <c r="B53" s="4" t="s">
        <v>480</v>
      </c>
      <c r="C53" s="5" t="s">
        <v>426</v>
      </c>
      <c r="D53" s="5" t="n">
        <v>0</v>
      </c>
      <c r="E53" s="5"/>
      <c r="F53" s="5"/>
    </row>
    <row r="54" customFormat="false" ht="17.15" hidden="false" customHeight="false" outlineLevel="0" collapsed="false">
      <c r="A54" s="5" t="n">
        <v>3</v>
      </c>
      <c r="B54" s="4" t="s">
        <v>481</v>
      </c>
      <c r="C54" s="5" t="s">
        <v>426</v>
      </c>
      <c r="D54" s="5" t="n">
        <v>0</v>
      </c>
      <c r="E54" s="5"/>
      <c r="F54" s="4" t="s">
        <v>428</v>
      </c>
    </row>
    <row r="55" customFormat="false" ht="17.15" hidden="false" customHeight="false" outlineLevel="0" collapsed="false">
      <c r="A55" s="5" t="n">
        <v>3</v>
      </c>
      <c r="B55" s="4" t="s">
        <v>97</v>
      </c>
      <c r="C55" s="5" t="s">
        <v>419</v>
      </c>
      <c r="D55" s="5" t="n">
        <v>0</v>
      </c>
      <c r="E55" s="5"/>
      <c r="F55" s="4" t="s">
        <v>440</v>
      </c>
    </row>
    <row r="56" customFormat="false" ht="17.15" hidden="false" customHeight="false" outlineLevel="0" collapsed="false">
      <c r="A56" s="5" t="n">
        <v>3</v>
      </c>
      <c r="B56" s="4" t="s">
        <v>482</v>
      </c>
      <c r="C56" s="5" t="s">
        <v>419</v>
      </c>
      <c r="D56" s="5" t="n">
        <v>0</v>
      </c>
      <c r="E56" s="5"/>
      <c r="F56" s="5"/>
    </row>
    <row r="57" customFormat="false" ht="17.15" hidden="false" customHeight="false" outlineLevel="0" collapsed="false">
      <c r="A57" s="5" t="n">
        <v>3</v>
      </c>
      <c r="B57" s="4" t="s">
        <v>483</v>
      </c>
      <c r="C57" s="5" t="s">
        <v>426</v>
      </c>
      <c r="D57" s="5" t="n">
        <v>1</v>
      </c>
      <c r="E57" s="4" t="s">
        <v>484</v>
      </c>
      <c r="F57" s="5"/>
    </row>
    <row r="58" customFormat="false" ht="17.15" hidden="false" customHeight="false" outlineLevel="0" collapsed="false">
      <c r="A58" s="5" t="n">
        <v>3</v>
      </c>
      <c r="B58" s="4" t="s">
        <v>484</v>
      </c>
      <c r="C58" s="5" t="s">
        <v>426</v>
      </c>
      <c r="D58" s="5" t="n">
        <v>1</v>
      </c>
      <c r="E58" s="4" t="s">
        <v>483</v>
      </c>
      <c r="F58" s="5"/>
    </row>
    <row r="59" customFormat="false" ht="17.15" hidden="false" customHeight="false" outlineLevel="0" collapsed="false">
      <c r="A59" s="5" t="n">
        <v>3</v>
      </c>
      <c r="B59" s="4" t="s">
        <v>485</v>
      </c>
      <c r="C59" s="5" t="s">
        <v>426</v>
      </c>
      <c r="D59" s="5" t="n">
        <v>0</v>
      </c>
      <c r="E59" s="5"/>
      <c r="F59" s="4" t="s">
        <v>428</v>
      </c>
    </row>
    <row r="60" customFormat="false" ht="17.15" hidden="false" customHeight="false" outlineLevel="0" collapsed="false">
      <c r="A60" s="5" t="n">
        <v>3</v>
      </c>
      <c r="B60" s="4" t="s">
        <v>128</v>
      </c>
      <c r="C60" s="5" t="s">
        <v>419</v>
      </c>
      <c r="D60" s="5" t="n">
        <v>0</v>
      </c>
      <c r="E60" s="5"/>
      <c r="F60" s="4" t="s">
        <v>424</v>
      </c>
    </row>
    <row r="61" customFormat="false" ht="17.15" hidden="false" customHeight="false" outlineLevel="0" collapsed="false">
      <c r="A61" s="5" t="n">
        <v>3</v>
      </c>
      <c r="B61" s="4" t="s">
        <v>172</v>
      </c>
      <c r="C61" s="5" t="s">
        <v>419</v>
      </c>
      <c r="D61" s="5" t="n">
        <v>0</v>
      </c>
      <c r="E61" s="5"/>
      <c r="F61" s="4" t="s">
        <v>447</v>
      </c>
    </row>
    <row r="62" customFormat="false" ht="17.15" hidden="false" customHeight="false" outlineLevel="0" collapsed="false">
      <c r="A62" s="5" t="n">
        <v>3</v>
      </c>
      <c r="B62" s="4" t="s">
        <v>148</v>
      </c>
      <c r="C62" s="5" t="s">
        <v>419</v>
      </c>
      <c r="D62" s="5" t="n">
        <v>0</v>
      </c>
      <c r="E62" s="5"/>
      <c r="F62" s="4" t="s">
        <v>447</v>
      </c>
    </row>
    <row r="63" customFormat="false" ht="17.15" hidden="false" customHeight="false" outlineLevel="0" collapsed="false">
      <c r="A63" s="5" t="n">
        <v>3</v>
      </c>
      <c r="B63" s="4" t="s">
        <v>145</v>
      </c>
      <c r="C63" s="5" t="s">
        <v>419</v>
      </c>
      <c r="D63" s="5" t="n">
        <v>1</v>
      </c>
      <c r="E63" s="4" t="s">
        <v>107</v>
      </c>
      <c r="F63" s="4" t="s">
        <v>447</v>
      </c>
    </row>
    <row r="64" customFormat="false" ht="17.15" hidden="false" customHeight="false" outlineLevel="0" collapsed="false">
      <c r="A64" s="5" t="n">
        <v>3</v>
      </c>
      <c r="B64" s="4" t="s">
        <v>90</v>
      </c>
      <c r="C64" s="5" t="s">
        <v>419</v>
      </c>
      <c r="D64" s="5" t="n">
        <v>0</v>
      </c>
      <c r="E64" s="5"/>
      <c r="F64" s="4" t="s">
        <v>486</v>
      </c>
    </row>
    <row r="65" customFormat="false" ht="17.15" hidden="false" customHeight="false" outlineLevel="0" collapsed="false">
      <c r="A65" s="5" t="n">
        <v>3</v>
      </c>
      <c r="B65" s="4" t="s">
        <v>487</v>
      </c>
      <c r="C65" s="5" t="s">
        <v>419</v>
      </c>
      <c r="D65" s="5" t="n">
        <v>0</v>
      </c>
      <c r="E65" s="5"/>
      <c r="F65" s="4" t="s">
        <v>428</v>
      </c>
    </row>
    <row r="66" customFormat="false" ht="17.15" hidden="false" customHeight="false" outlineLevel="0" collapsed="false">
      <c r="A66" s="5" t="n">
        <v>3</v>
      </c>
      <c r="B66" s="4" t="s">
        <v>488</v>
      </c>
      <c r="C66" s="5" t="s">
        <v>426</v>
      </c>
      <c r="D66" s="5" t="n">
        <v>0</v>
      </c>
      <c r="E66" s="5"/>
      <c r="F66" s="5"/>
    </row>
    <row r="67" customFormat="false" ht="17.15" hidden="false" customHeight="false" outlineLevel="0" collapsed="false">
      <c r="A67" s="5" t="n">
        <v>3</v>
      </c>
      <c r="B67" s="4" t="s">
        <v>152</v>
      </c>
      <c r="C67" s="5" t="s">
        <v>426</v>
      </c>
      <c r="D67" s="5" t="n">
        <v>1</v>
      </c>
      <c r="E67" s="4" t="s">
        <v>151</v>
      </c>
      <c r="F67" s="4" t="s">
        <v>434</v>
      </c>
    </row>
    <row r="68" customFormat="false" ht="17.15" hidden="false" customHeight="false" outlineLevel="0" collapsed="false">
      <c r="A68" s="5" t="n">
        <v>3</v>
      </c>
      <c r="B68" s="4" t="s">
        <v>135</v>
      </c>
      <c r="C68" s="5" t="s">
        <v>426</v>
      </c>
      <c r="D68" s="5" t="n">
        <v>0</v>
      </c>
      <c r="E68" s="5"/>
      <c r="F68" s="4" t="s">
        <v>424</v>
      </c>
    </row>
    <row r="69" customFormat="false" ht="17.15" hidden="false" customHeight="false" outlineLevel="0" collapsed="false">
      <c r="A69" s="5" t="n">
        <v>3</v>
      </c>
      <c r="B69" s="4" t="s">
        <v>165</v>
      </c>
      <c r="C69" s="5" t="s">
        <v>426</v>
      </c>
      <c r="D69" s="5" t="n">
        <v>1</v>
      </c>
      <c r="E69" s="4" t="s">
        <v>164</v>
      </c>
      <c r="F69" s="4" t="s">
        <v>424</v>
      </c>
    </row>
    <row r="70" customFormat="false" ht="17.15" hidden="false" customHeight="false" outlineLevel="0" collapsed="false">
      <c r="A70" s="5" t="n">
        <v>3</v>
      </c>
      <c r="B70" s="4" t="s">
        <v>164</v>
      </c>
      <c r="C70" s="5" t="s">
        <v>419</v>
      </c>
      <c r="D70" s="5" t="n">
        <v>1</v>
      </c>
      <c r="E70" s="4" t="s">
        <v>165</v>
      </c>
      <c r="F70" s="4" t="s">
        <v>486</v>
      </c>
    </row>
    <row r="71" customFormat="false" ht="17.15" hidden="false" customHeight="false" outlineLevel="0" collapsed="false">
      <c r="A71" s="5" t="n">
        <v>3</v>
      </c>
      <c r="B71" s="4" t="s">
        <v>489</v>
      </c>
      <c r="C71" s="5" t="s">
        <v>426</v>
      </c>
      <c r="D71" s="5" t="n">
        <v>0</v>
      </c>
      <c r="E71" s="5"/>
      <c r="F71" s="5"/>
    </row>
    <row r="72" customFormat="false" ht="17.15" hidden="false" customHeight="false" outlineLevel="0" collapsed="false">
      <c r="A72" s="5" t="n">
        <v>3</v>
      </c>
      <c r="B72" s="4" t="s">
        <v>490</v>
      </c>
      <c r="C72" s="5" t="s">
        <v>464</v>
      </c>
      <c r="D72" s="5" t="n">
        <v>0</v>
      </c>
      <c r="E72" s="5"/>
      <c r="F72" s="5"/>
    </row>
    <row r="73" customFormat="false" ht="17.15" hidden="false" customHeight="false" outlineLevel="0" collapsed="false">
      <c r="A73" s="5" t="n">
        <v>3</v>
      </c>
      <c r="B73" s="4" t="s">
        <v>491</v>
      </c>
      <c r="C73" s="5" t="s">
        <v>419</v>
      </c>
      <c r="D73" s="5" t="n">
        <v>0</v>
      </c>
      <c r="E73" s="5"/>
      <c r="F73" s="5"/>
    </row>
    <row r="74" customFormat="false" ht="17.15" hidden="false" customHeight="false" outlineLevel="0" collapsed="false">
      <c r="A74" s="5" t="n">
        <v>3</v>
      </c>
      <c r="B74" s="4" t="s">
        <v>492</v>
      </c>
      <c r="C74" s="5" t="s">
        <v>426</v>
      </c>
      <c r="D74" s="5" t="n">
        <v>1</v>
      </c>
      <c r="E74" s="4" t="s">
        <v>275</v>
      </c>
      <c r="F74" s="5"/>
    </row>
    <row r="75" customFormat="false" ht="17.15" hidden="false" customHeight="false" outlineLevel="0" collapsed="false">
      <c r="A75" s="5" t="n">
        <v>3</v>
      </c>
      <c r="B75" s="4" t="s">
        <v>493</v>
      </c>
      <c r="C75" s="5" t="s">
        <v>464</v>
      </c>
      <c r="D75" s="5" t="n">
        <v>0</v>
      </c>
      <c r="E75" s="5"/>
      <c r="F75" s="5"/>
    </row>
    <row r="76" customFormat="false" ht="17.15" hidden="false" customHeight="false" outlineLevel="0" collapsed="false">
      <c r="A76" s="5" t="n">
        <v>3</v>
      </c>
      <c r="B76" s="4" t="s">
        <v>151</v>
      </c>
      <c r="C76" s="5" t="s">
        <v>419</v>
      </c>
      <c r="D76" s="5" t="n">
        <v>1</v>
      </c>
      <c r="E76" s="4" t="s">
        <v>152</v>
      </c>
      <c r="F76" s="4" t="s">
        <v>436</v>
      </c>
    </row>
    <row r="77" customFormat="false" ht="17.15" hidden="false" customHeight="false" outlineLevel="0" collapsed="false">
      <c r="A77" s="5" t="n">
        <v>3</v>
      </c>
      <c r="B77" s="4" t="s">
        <v>494</v>
      </c>
      <c r="C77" s="5" t="s">
        <v>464</v>
      </c>
      <c r="D77" s="5" t="n">
        <v>0</v>
      </c>
      <c r="E77" s="5"/>
      <c r="F77" s="5"/>
    </row>
    <row r="78" customFormat="false" ht="17.15" hidden="false" customHeight="false" outlineLevel="0" collapsed="false">
      <c r="A78" s="5" t="n">
        <v>3</v>
      </c>
      <c r="B78" s="4" t="s">
        <v>495</v>
      </c>
      <c r="C78" s="5" t="s">
        <v>464</v>
      </c>
      <c r="D78" s="5" t="n">
        <v>0</v>
      </c>
      <c r="E78" s="5"/>
      <c r="F78" s="5"/>
    </row>
    <row r="79" customFormat="false" ht="17.15" hidden="false" customHeight="false" outlineLevel="0" collapsed="false">
      <c r="A79" s="5" t="n">
        <v>3</v>
      </c>
      <c r="B79" s="4" t="s">
        <v>119</v>
      </c>
      <c r="C79" s="5" t="s">
        <v>419</v>
      </c>
      <c r="D79" s="5" t="n">
        <v>0</v>
      </c>
      <c r="E79" s="5"/>
      <c r="F79" s="4" t="s">
        <v>447</v>
      </c>
    </row>
    <row r="80" customFormat="false" ht="17.15" hidden="false" customHeight="false" outlineLevel="0" collapsed="false">
      <c r="A80" s="5" t="n">
        <v>3</v>
      </c>
      <c r="B80" s="4" t="s">
        <v>496</v>
      </c>
      <c r="C80" s="5" t="s">
        <v>426</v>
      </c>
      <c r="D80" s="5" t="n">
        <v>0</v>
      </c>
      <c r="E80" s="5"/>
      <c r="F80" s="5"/>
    </row>
    <row r="81" customFormat="false" ht="17.15" hidden="false" customHeight="false" outlineLevel="0" collapsed="false">
      <c r="A81" s="5" t="n">
        <v>3</v>
      </c>
      <c r="B81" s="4" t="s">
        <v>497</v>
      </c>
      <c r="C81" s="5" t="s">
        <v>426</v>
      </c>
      <c r="D81" s="5" t="n">
        <v>0</v>
      </c>
      <c r="E81" s="5"/>
      <c r="F81" s="5"/>
    </row>
    <row r="82" customFormat="false" ht="17.15" hidden="false" customHeight="false" outlineLevel="0" collapsed="false">
      <c r="A82" s="5" t="n">
        <v>3</v>
      </c>
      <c r="B82" s="4" t="s">
        <v>498</v>
      </c>
      <c r="C82" s="5" t="s">
        <v>426</v>
      </c>
      <c r="D82" s="5" t="n">
        <v>0</v>
      </c>
      <c r="E82" s="5"/>
      <c r="F82" s="5"/>
    </row>
    <row r="83" customFormat="false" ht="17.15" hidden="false" customHeight="false" outlineLevel="0" collapsed="false">
      <c r="A83" s="5" t="n">
        <v>4</v>
      </c>
      <c r="B83" s="4" t="s">
        <v>77</v>
      </c>
      <c r="C83" s="5" t="s">
        <v>419</v>
      </c>
      <c r="D83" s="5" t="n">
        <v>0</v>
      </c>
      <c r="E83" s="5"/>
      <c r="F83" s="4" t="s">
        <v>424</v>
      </c>
    </row>
    <row r="84" customFormat="false" ht="17.15" hidden="false" customHeight="false" outlineLevel="0" collapsed="false">
      <c r="A84" s="5" t="n">
        <v>4</v>
      </c>
      <c r="B84" s="4" t="s">
        <v>93</v>
      </c>
      <c r="C84" s="5" t="s">
        <v>419</v>
      </c>
      <c r="D84" s="5" t="n">
        <v>3</v>
      </c>
      <c r="E84" s="4" t="s">
        <v>499</v>
      </c>
      <c r="F84" s="4" t="s">
        <v>447</v>
      </c>
    </row>
    <row r="85" customFormat="false" ht="17.15" hidden="false" customHeight="false" outlineLevel="0" collapsed="false">
      <c r="A85" s="5" t="n">
        <v>4</v>
      </c>
      <c r="B85" s="4" t="s">
        <v>169</v>
      </c>
      <c r="C85" s="5" t="s">
        <v>419</v>
      </c>
      <c r="D85" s="5" t="n">
        <v>3</v>
      </c>
      <c r="E85" s="4" t="s">
        <v>500</v>
      </c>
      <c r="F85" s="4" t="s">
        <v>436</v>
      </c>
    </row>
    <row r="86" customFormat="false" ht="17.15" hidden="false" customHeight="false" outlineLevel="0" collapsed="false">
      <c r="A86" s="5" t="n">
        <v>4</v>
      </c>
      <c r="B86" s="4" t="s">
        <v>196</v>
      </c>
      <c r="C86" s="5" t="s">
        <v>419</v>
      </c>
      <c r="D86" s="5" t="n">
        <v>2</v>
      </c>
      <c r="E86" s="4" t="s">
        <v>501</v>
      </c>
      <c r="F86" s="4" t="s">
        <v>486</v>
      </c>
    </row>
    <row r="87" customFormat="false" ht="17.15" hidden="false" customHeight="false" outlineLevel="0" collapsed="false">
      <c r="A87" s="5" t="n">
        <v>4</v>
      </c>
      <c r="B87" s="4" t="s">
        <v>502</v>
      </c>
      <c r="C87" s="5" t="s">
        <v>426</v>
      </c>
      <c r="D87" s="5" t="n">
        <v>0</v>
      </c>
      <c r="E87" s="5"/>
      <c r="F87" s="5"/>
    </row>
    <row r="88" customFormat="false" ht="17.15" hidden="false" customHeight="false" outlineLevel="0" collapsed="false">
      <c r="A88" s="5" t="n">
        <v>4</v>
      </c>
      <c r="B88" s="4" t="s">
        <v>124</v>
      </c>
      <c r="C88" s="5" t="s">
        <v>419</v>
      </c>
      <c r="D88" s="5" t="n">
        <v>1</v>
      </c>
      <c r="E88" s="4" t="s">
        <v>477</v>
      </c>
      <c r="F88" s="4" t="s">
        <v>424</v>
      </c>
    </row>
    <row r="89" customFormat="false" ht="17.15" hidden="false" customHeight="false" outlineLevel="0" collapsed="false">
      <c r="A89" s="5" t="n">
        <v>4</v>
      </c>
      <c r="B89" s="4" t="s">
        <v>503</v>
      </c>
      <c r="C89" s="5" t="s">
        <v>426</v>
      </c>
      <c r="D89" s="5" t="n">
        <v>1</v>
      </c>
      <c r="E89" s="4" t="s">
        <v>465</v>
      </c>
      <c r="F89" s="5"/>
    </row>
    <row r="90" customFormat="false" ht="17.15" hidden="false" customHeight="false" outlineLevel="0" collapsed="false">
      <c r="A90" s="5" t="n">
        <v>4</v>
      </c>
      <c r="B90" s="4" t="s">
        <v>504</v>
      </c>
      <c r="C90" s="5" t="s">
        <v>426</v>
      </c>
      <c r="D90" s="5" t="n">
        <v>0</v>
      </c>
      <c r="E90" s="5"/>
      <c r="F90" s="5"/>
    </row>
    <row r="91" customFormat="false" ht="17.15" hidden="false" customHeight="false" outlineLevel="0" collapsed="false">
      <c r="A91" s="5" t="n">
        <v>4</v>
      </c>
      <c r="B91" s="4" t="s">
        <v>505</v>
      </c>
      <c r="C91" s="5" t="s">
        <v>464</v>
      </c>
      <c r="D91" s="5" t="n">
        <v>1</v>
      </c>
      <c r="E91" s="4" t="s">
        <v>116</v>
      </c>
      <c r="F91" s="5"/>
    </row>
    <row r="92" customFormat="false" ht="17.15" hidden="false" customHeight="false" outlineLevel="0" collapsed="false">
      <c r="A92" s="5" t="n">
        <v>4</v>
      </c>
      <c r="B92" s="4" t="s">
        <v>197</v>
      </c>
      <c r="C92" s="5" t="s">
        <v>426</v>
      </c>
      <c r="D92" s="5" t="n">
        <v>2</v>
      </c>
      <c r="E92" s="4" t="s">
        <v>506</v>
      </c>
      <c r="F92" s="4" t="s">
        <v>422</v>
      </c>
    </row>
    <row r="93" customFormat="false" ht="17.15" hidden="false" customHeight="false" outlineLevel="0" collapsed="false">
      <c r="A93" s="5" t="n">
        <v>4</v>
      </c>
      <c r="B93" s="4" t="s">
        <v>275</v>
      </c>
      <c r="C93" s="5" t="s">
        <v>464</v>
      </c>
      <c r="D93" s="5" t="n">
        <v>1</v>
      </c>
      <c r="E93" s="4" t="s">
        <v>492</v>
      </c>
      <c r="F93" s="4" t="s">
        <v>469</v>
      </c>
    </row>
    <row r="94" customFormat="false" ht="17.15" hidden="false" customHeight="false" outlineLevel="0" collapsed="false">
      <c r="A94" s="5" t="n">
        <v>4</v>
      </c>
      <c r="B94" s="4" t="s">
        <v>507</v>
      </c>
      <c r="C94" s="5" t="s">
        <v>426</v>
      </c>
      <c r="D94" s="5" t="n">
        <v>3</v>
      </c>
      <c r="E94" s="4" t="s">
        <v>508</v>
      </c>
      <c r="F94" s="4" t="s">
        <v>428</v>
      </c>
    </row>
    <row r="95" customFormat="false" ht="17.15" hidden="false" customHeight="false" outlineLevel="0" collapsed="false">
      <c r="A95" s="5" t="n">
        <v>4</v>
      </c>
      <c r="B95" s="4" t="s">
        <v>259</v>
      </c>
      <c r="C95" s="5" t="s">
        <v>464</v>
      </c>
      <c r="D95" s="5" t="n">
        <v>5</v>
      </c>
      <c r="E95" s="4" t="s">
        <v>509</v>
      </c>
      <c r="F95" s="4" t="s">
        <v>469</v>
      </c>
    </row>
    <row r="96" customFormat="false" ht="17.15" hidden="false" customHeight="false" outlineLevel="0" collapsed="false">
      <c r="A96" s="5" t="n">
        <v>4</v>
      </c>
      <c r="B96" s="4" t="s">
        <v>83</v>
      </c>
      <c r="C96" s="5" t="s">
        <v>419</v>
      </c>
      <c r="D96" s="5" t="n">
        <v>2</v>
      </c>
      <c r="E96" s="4" t="s">
        <v>510</v>
      </c>
      <c r="F96" s="4" t="s">
        <v>421</v>
      </c>
    </row>
    <row r="97" customFormat="false" ht="17.15" hidden="false" customHeight="false" outlineLevel="0" collapsed="false">
      <c r="A97" s="5" t="n">
        <v>4</v>
      </c>
      <c r="B97" s="4" t="s">
        <v>159</v>
      </c>
      <c r="C97" s="5" t="s">
        <v>419</v>
      </c>
      <c r="D97" s="5" t="n">
        <v>0</v>
      </c>
      <c r="E97" s="5"/>
      <c r="F97" s="4" t="s">
        <v>447</v>
      </c>
    </row>
    <row r="98" customFormat="false" ht="17.15" hidden="false" customHeight="false" outlineLevel="0" collapsed="false">
      <c r="A98" s="5" t="n">
        <v>4</v>
      </c>
      <c r="B98" s="4" t="s">
        <v>175</v>
      </c>
      <c r="C98" s="5" t="s">
        <v>426</v>
      </c>
      <c r="D98" s="5" t="n">
        <v>5</v>
      </c>
      <c r="E98" s="4" t="s">
        <v>511</v>
      </c>
      <c r="F98" s="4" t="s">
        <v>447</v>
      </c>
    </row>
    <row r="99" customFormat="false" ht="17.15" hidden="false" customHeight="false" outlineLevel="0" collapsed="false">
      <c r="A99" s="5" t="n">
        <v>4</v>
      </c>
      <c r="B99" s="4" t="s">
        <v>512</v>
      </c>
      <c r="C99" s="5" t="s">
        <v>426</v>
      </c>
      <c r="D99" s="5" t="n">
        <v>2</v>
      </c>
      <c r="E99" s="4" t="s">
        <v>513</v>
      </c>
      <c r="F99" s="5"/>
    </row>
    <row r="100" customFormat="false" ht="17.15" hidden="false" customHeight="false" outlineLevel="0" collapsed="false">
      <c r="A100" s="5" t="n">
        <v>4</v>
      </c>
      <c r="B100" s="4" t="s">
        <v>514</v>
      </c>
      <c r="C100" s="5" t="s">
        <v>426</v>
      </c>
      <c r="D100" s="5" t="n">
        <v>0</v>
      </c>
      <c r="E100" s="5"/>
      <c r="F100" s="4" t="s">
        <v>428</v>
      </c>
    </row>
    <row r="101" customFormat="false" ht="17.15" hidden="false" customHeight="false" outlineLevel="0" collapsed="false">
      <c r="A101" s="5" t="n">
        <v>4</v>
      </c>
      <c r="B101" s="4" t="s">
        <v>191</v>
      </c>
      <c r="C101" s="5" t="s">
        <v>426</v>
      </c>
      <c r="D101" s="5" t="n">
        <v>1</v>
      </c>
      <c r="E101" s="4" t="s">
        <v>190</v>
      </c>
      <c r="F101" s="4" t="s">
        <v>422</v>
      </c>
    </row>
    <row r="102" customFormat="false" ht="17.15" hidden="false" customHeight="false" outlineLevel="0" collapsed="false">
      <c r="A102" s="5" t="n">
        <v>4</v>
      </c>
      <c r="B102" s="4" t="s">
        <v>190</v>
      </c>
      <c r="C102" s="5" t="s">
        <v>426</v>
      </c>
      <c r="D102" s="5" t="n">
        <v>1</v>
      </c>
      <c r="E102" s="4" t="s">
        <v>191</v>
      </c>
      <c r="F102" s="4" t="s">
        <v>436</v>
      </c>
    </row>
    <row r="103" customFormat="false" ht="17.15" hidden="false" customHeight="false" outlineLevel="0" collapsed="false">
      <c r="A103" s="5" t="n">
        <v>4</v>
      </c>
      <c r="B103" s="4" t="s">
        <v>515</v>
      </c>
      <c r="C103" s="5" t="s">
        <v>426</v>
      </c>
      <c r="D103" s="5" t="n">
        <v>0</v>
      </c>
      <c r="E103" s="5"/>
      <c r="F103" s="5"/>
    </row>
    <row r="104" customFormat="false" ht="17.15" hidden="false" customHeight="false" outlineLevel="0" collapsed="false">
      <c r="A104" s="5" t="n">
        <v>4</v>
      </c>
      <c r="B104" s="4" t="s">
        <v>183</v>
      </c>
      <c r="C104" s="5" t="s">
        <v>419</v>
      </c>
      <c r="D104" s="5" t="n">
        <v>0</v>
      </c>
      <c r="E104" s="5"/>
      <c r="F104" s="4" t="s">
        <v>486</v>
      </c>
    </row>
    <row r="105" customFormat="false" ht="17.15" hidden="false" customHeight="false" outlineLevel="0" collapsed="false">
      <c r="A105" s="5" t="n">
        <v>4</v>
      </c>
      <c r="B105" s="4" t="s">
        <v>184</v>
      </c>
      <c r="C105" s="5" t="s">
        <v>419</v>
      </c>
      <c r="D105" s="5" t="n">
        <v>0</v>
      </c>
      <c r="E105" s="5"/>
      <c r="F105" s="4" t="s">
        <v>447</v>
      </c>
    </row>
    <row r="106" customFormat="false" ht="17.15" hidden="false" customHeight="false" outlineLevel="0" collapsed="false">
      <c r="A106" s="5" t="n">
        <v>4</v>
      </c>
      <c r="B106" s="4" t="s">
        <v>179</v>
      </c>
      <c r="C106" s="5" t="s">
        <v>419</v>
      </c>
      <c r="D106" s="5" t="n">
        <v>2</v>
      </c>
      <c r="E106" s="4" t="s">
        <v>516</v>
      </c>
      <c r="F106" s="4" t="s">
        <v>486</v>
      </c>
    </row>
    <row r="107" customFormat="false" ht="17.15" hidden="false" customHeight="false" outlineLevel="0" collapsed="false">
      <c r="A107" s="5" t="n">
        <v>4</v>
      </c>
      <c r="B107" s="4" t="s">
        <v>114</v>
      </c>
      <c r="C107" s="5" t="s">
        <v>419</v>
      </c>
      <c r="D107" s="5" t="n">
        <v>0</v>
      </c>
      <c r="E107" s="5"/>
      <c r="F107" s="4" t="s">
        <v>447</v>
      </c>
    </row>
    <row r="109" customFormat="false" ht="15" hidden="false" customHeight="false" outlineLevel="0" collapsed="false">
      <c r="A109" s="2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8"/>
  </cols>
  <sheetData>
    <row r="1" customFormat="false" ht="17.15" hidden="false" customHeight="false" outlineLevel="0" collapsed="false">
      <c r="A1" s="3" t="s">
        <v>237</v>
      </c>
      <c r="B1" s="3" t="s">
        <v>238</v>
      </c>
      <c r="C1" s="3" t="s">
        <v>518</v>
      </c>
      <c r="D1" s="3" t="s">
        <v>519</v>
      </c>
      <c r="E1" s="3" t="s">
        <v>520</v>
      </c>
    </row>
    <row r="2" customFormat="false" ht="17.15" hidden="false" customHeight="false" outlineLevel="0" collapsed="false">
      <c r="A2" s="4" t="s">
        <v>66</v>
      </c>
      <c r="B2" s="4" t="s">
        <v>80</v>
      </c>
      <c r="C2" s="5" t="s">
        <v>94</v>
      </c>
      <c r="D2" s="4" t="s">
        <v>521</v>
      </c>
      <c r="E2" s="4" t="s">
        <v>522</v>
      </c>
    </row>
    <row r="3" customFormat="false" ht="17.15" hidden="false" customHeight="false" outlineLevel="0" collapsed="false">
      <c r="A3" s="4" t="s">
        <v>66</v>
      </c>
      <c r="B3" s="4" t="s">
        <v>111</v>
      </c>
      <c r="C3" s="5" t="s">
        <v>94</v>
      </c>
      <c r="D3" s="4" t="s">
        <v>521</v>
      </c>
      <c r="E3" s="4" t="s">
        <v>523</v>
      </c>
    </row>
    <row r="4" customFormat="false" ht="17.15" hidden="false" customHeight="false" outlineLevel="0" collapsed="false">
      <c r="A4" s="4" t="s">
        <v>66</v>
      </c>
      <c r="B4" s="4" t="s">
        <v>86</v>
      </c>
      <c r="C4" s="5" t="s">
        <v>94</v>
      </c>
      <c r="D4" s="4" t="s">
        <v>521</v>
      </c>
      <c r="E4" s="4" t="s">
        <v>469</v>
      </c>
    </row>
    <row r="5" customFormat="false" ht="17.15" hidden="false" customHeight="false" outlineLevel="0" collapsed="false">
      <c r="A5" s="4" t="s">
        <v>66</v>
      </c>
      <c r="B5" s="4" t="s">
        <v>67</v>
      </c>
      <c r="C5" s="5" t="s">
        <v>524</v>
      </c>
      <c r="D5" s="4" t="s">
        <v>525</v>
      </c>
      <c r="E5" s="4" t="s">
        <v>526</v>
      </c>
    </row>
    <row r="6" customFormat="false" ht="17.15" hidden="false" customHeight="false" outlineLevel="0" collapsed="false">
      <c r="A6" s="4" t="s">
        <v>66</v>
      </c>
      <c r="B6" s="4" t="s">
        <v>454</v>
      </c>
      <c r="C6" s="5" t="s">
        <v>94</v>
      </c>
      <c r="D6" s="4" t="s">
        <v>521</v>
      </c>
      <c r="E6" s="4" t="s">
        <v>527</v>
      </c>
    </row>
    <row r="7" customFormat="false" ht="17.15" hidden="false" customHeight="false" outlineLevel="0" collapsed="false">
      <c r="A7" s="4" t="s">
        <v>142</v>
      </c>
      <c r="B7" s="4" t="s">
        <v>67</v>
      </c>
      <c r="C7" s="5" t="s">
        <v>75</v>
      </c>
      <c r="D7" s="4" t="s">
        <v>528</v>
      </c>
      <c r="E7" s="4" t="s">
        <v>529</v>
      </c>
    </row>
    <row r="8" customFormat="false" ht="17.15" hidden="false" customHeight="false" outlineLevel="0" collapsed="false">
      <c r="A8" s="4" t="s">
        <v>70</v>
      </c>
      <c r="B8" s="4" t="s">
        <v>430</v>
      </c>
      <c r="C8" s="5" t="s">
        <v>524</v>
      </c>
      <c r="D8" s="4" t="s">
        <v>530</v>
      </c>
      <c r="E8" s="4" t="s">
        <v>531</v>
      </c>
    </row>
    <row r="9" customFormat="false" ht="17.15" hidden="false" customHeight="false" outlineLevel="0" collapsed="false">
      <c r="A9" s="4" t="s">
        <v>70</v>
      </c>
      <c r="B9" s="4" t="s">
        <v>105</v>
      </c>
      <c r="C9" s="5" t="s">
        <v>94</v>
      </c>
      <c r="D9" s="4" t="s">
        <v>532</v>
      </c>
      <c r="E9" s="4" t="s">
        <v>533</v>
      </c>
    </row>
    <row r="10" customFormat="false" ht="17.15" hidden="false" customHeight="false" outlineLevel="0" collapsed="false">
      <c r="A10" s="4" t="s">
        <v>425</v>
      </c>
      <c r="B10" s="4" t="s">
        <v>73</v>
      </c>
      <c r="C10" s="5" t="s">
        <v>94</v>
      </c>
      <c r="D10" s="4" t="s">
        <v>469</v>
      </c>
      <c r="E10" s="4" t="s">
        <v>528</v>
      </c>
    </row>
    <row r="11" customFormat="false" ht="17.15" hidden="false" customHeight="false" outlineLevel="0" collapsed="false">
      <c r="A11" s="4" t="s">
        <v>425</v>
      </c>
      <c r="B11" s="4" t="s">
        <v>430</v>
      </c>
      <c r="C11" s="5" t="s">
        <v>94</v>
      </c>
      <c r="D11" s="4" t="s">
        <v>469</v>
      </c>
      <c r="E11" s="4" t="s">
        <v>532</v>
      </c>
    </row>
    <row r="12" customFormat="false" ht="17.15" hidden="false" customHeight="false" outlineLevel="0" collapsed="false">
      <c r="A12" s="4" t="s">
        <v>425</v>
      </c>
      <c r="B12" s="4" t="s">
        <v>87</v>
      </c>
      <c r="C12" s="5" t="s">
        <v>524</v>
      </c>
      <c r="D12" s="4" t="s">
        <v>531</v>
      </c>
      <c r="E12" s="4" t="s">
        <v>525</v>
      </c>
    </row>
    <row r="13" customFormat="false" ht="17.15" hidden="false" customHeight="false" outlineLevel="0" collapsed="false">
      <c r="A13" s="4" t="s">
        <v>73</v>
      </c>
      <c r="B13" s="4" t="s">
        <v>430</v>
      </c>
      <c r="C13" s="5" t="s">
        <v>94</v>
      </c>
      <c r="D13" s="4" t="s">
        <v>528</v>
      </c>
      <c r="E13" s="4" t="s">
        <v>532</v>
      </c>
    </row>
    <row r="14" customFormat="false" ht="17.15" hidden="false" customHeight="false" outlineLevel="0" collapsed="false">
      <c r="A14" s="4" t="s">
        <v>73</v>
      </c>
      <c r="B14" s="4" t="s">
        <v>74</v>
      </c>
      <c r="C14" s="5" t="s">
        <v>75</v>
      </c>
      <c r="D14" s="4" t="s">
        <v>534</v>
      </c>
      <c r="E14" s="4" t="s">
        <v>535</v>
      </c>
    </row>
    <row r="15" customFormat="false" ht="17.15" hidden="false" customHeight="false" outlineLevel="0" collapsed="false">
      <c r="A15" s="4" t="s">
        <v>73</v>
      </c>
      <c r="B15" s="4" t="s">
        <v>259</v>
      </c>
      <c r="C15" s="5" t="s">
        <v>75</v>
      </c>
      <c r="D15" s="4" t="s">
        <v>534</v>
      </c>
      <c r="E15" s="4" t="s">
        <v>521</v>
      </c>
    </row>
    <row r="16" customFormat="false" ht="17.15" hidden="false" customHeight="false" outlineLevel="0" collapsed="false">
      <c r="A16" s="4" t="s">
        <v>80</v>
      </c>
      <c r="B16" s="4" t="s">
        <v>111</v>
      </c>
      <c r="C16" s="5" t="s">
        <v>94</v>
      </c>
      <c r="D16" s="4" t="s">
        <v>522</v>
      </c>
      <c r="E16" s="4" t="s">
        <v>523</v>
      </c>
    </row>
    <row r="17" customFormat="false" ht="17.15" hidden="false" customHeight="false" outlineLevel="0" collapsed="false">
      <c r="A17" s="4" t="s">
        <v>80</v>
      </c>
      <c r="B17" s="4" t="s">
        <v>86</v>
      </c>
      <c r="C17" s="5" t="s">
        <v>94</v>
      </c>
      <c r="D17" s="4" t="s">
        <v>522</v>
      </c>
      <c r="E17" s="4" t="s">
        <v>469</v>
      </c>
    </row>
    <row r="18" customFormat="false" ht="17.15" hidden="false" customHeight="false" outlineLevel="0" collapsed="false">
      <c r="A18" s="4" t="s">
        <v>80</v>
      </c>
      <c r="B18" s="4" t="s">
        <v>81</v>
      </c>
      <c r="C18" s="5" t="s">
        <v>524</v>
      </c>
      <c r="D18" s="4" t="s">
        <v>525</v>
      </c>
      <c r="E18" s="4" t="s">
        <v>536</v>
      </c>
    </row>
    <row r="19" customFormat="false" ht="17.15" hidden="false" customHeight="false" outlineLevel="0" collapsed="false">
      <c r="A19" s="4" t="s">
        <v>80</v>
      </c>
      <c r="B19" s="4" t="s">
        <v>454</v>
      </c>
      <c r="C19" s="5" t="s">
        <v>94</v>
      </c>
      <c r="D19" s="4" t="s">
        <v>522</v>
      </c>
      <c r="E19" s="4" t="s">
        <v>527</v>
      </c>
    </row>
    <row r="20" customFormat="false" ht="17.15" hidden="false" customHeight="false" outlineLevel="0" collapsed="false">
      <c r="A20" s="4" t="s">
        <v>80</v>
      </c>
      <c r="B20" s="4" t="s">
        <v>474</v>
      </c>
      <c r="C20" s="5" t="s">
        <v>524</v>
      </c>
      <c r="D20" s="4" t="s">
        <v>525</v>
      </c>
      <c r="E20" s="4" t="s">
        <v>531</v>
      </c>
    </row>
    <row r="21" customFormat="false" ht="17.15" hidden="false" customHeight="false" outlineLevel="0" collapsed="false">
      <c r="A21" s="4" t="s">
        <v>111</v>
      </c>
      <c r="B21" s="4" t="s">
        <v>86</v>
      </c>
      <c r="C21" s="5" t="s">
        <v>94</v>
      </c>
      <c r="D21" s="4" t="s">
        <v>523</v>
      </c>
      <c r="E21" s="4" t="s">
        <v>469</v>
      </c>
    </row>
    <row r="22" customFormat="false" ht="17.15" hidden="false" customHeight="false" outlineLevel="0" collapsed="false">
      <c r="A22" s="4" t="s">
        <v>111</v>
      </c>
      <c r="B22" s="4" t="s">
        <v>110</v>
      </c>
      <c r="C22" s="5" t="s">
        <v>75</v>
      </c>
      <c r="D22" s="4" t="s">
        <v>529</v>
      </c>
      <c r="E22" s="4" t="s">
        <v>535</v>
      </c>
    </row>
    <row r="23" customFormat="false" ht="17.15" hidden="false" customHeight="false" outlineLevel="0" collapsed="false">
      <c r="A23" s="4" t="s">
        <v>111</v>
      </c>
      <c r="B23" s="4" t="s">
        <v>454</v>
      </c>
      <c r="C23" s="5" t="s">
        <v>94</v>
      </c>
      <c r="D23" s="4" t="s">
        <v>523</v>
      </c>
      <c r="E23" s="4" t="s">
        <v>527</v>
      </c>
    </row>
    <row r="24" customFormat="false" ht="17.15" hidden="false" customHeight="false" outlineLevel="0" collapsed="false">
      <c r="A24" s="4" t="s">
        <v>86</v>
      </c>
      <c r="B24" s="4" t="s">
        <v>87</v>
      </c>
      <c r="C24" s="5" t="s">
        <v>75</v>
      </c>
      <c r="D24" s="4" t="s">
        <v>529</v>
      </c>
      <c r="E24" s="4" t="s">
        <v>534</v>
      </c>
    </row>
    <row r="25" customFormat="false" ht="17.15" hidden="false" customHeight="false" outlineLevel="0" collapsed="false">
      <c r="A25" s="4" t="s">
        <v>86</v>
      </c>
      <c r="B25" s="4" t="s">
        <v>454</v>
      </c>
      <c r="C25" s="5" t="s">
        <v>94</v>
      </c>
      <c r="D25" s="4" t="s">
        <v>469</v>
      </c>
      <c r="E25" s="4" t="s">
        <v>527</v>
      </c>
    </row>
    <row r="26" customFormat="false" ht="17.15" hidden="false" customHeight="false" outlineLevel="0" collapsed="false">
      <c r="A26" s="4" t="s">
        <v>78</v>
      </c>
      <c r="B26" s="4" t="s">
        <v>451</v>
      </c>
      <c r="C26" s="5" t="s">
        <v>94</v>
      </c>
      <c r="D26" s="4" t="s">
        <v>469</v>
      </c>
      <c r="E26" s="4" t="s">
        <v>537</v>
      </c>
    </row>
    <row r="27" customFormat="false" ht="17.15" hidden="false" customHeight="false" outlineLevel="0" collapsed="false">
      <c r="A27" s="4" t="s">
        <v>78</v>
      </c>
      <c r="B27" s="4" t="s">
        <v>93</v>
      </c>
      <c r="C27" s="5" t="s">
        <v>94</v>
      </c>
      <c r="D27" s="4" t="s">
        <v>469</v>
      </c>
      <c r="E27" s="4" t="s">
        <v>538</v>
      </c>
    </row>
    <row r="28" customFormat="false" ht="17.15" hidden="false" customHeight="false" outlineLevel="0" collapsed="false">
      <c r="A28" s="4" t="s">
        <v>74</v>
      </c>
      <c r="B28" s="4" t="s">
        <v>99</v>
      </c>
      <c r="C28" s="5" t="s">
        <v>524</v>
      </c>
      <c r="D28" s="4" t="s">
        <v>531</v>
      </c>
      <c r="E28" s="4" t="s">
        <v>525</v>
      </c>
    </row>
    <row r="29" customFormat="false" ht="17.15" hidden="false" customHeight="false" outlineLevel="0" collapsed="false">
      <c r="A29" s="4" t="s">
        <v>74</v>
      </c>
      <c r="B29" s="4" t="s">
        <v>196</v>
      </c>
      <c r="C29" s="5" t="s">
        <v>94</v>
      </c>
      <c r="D29" s="4" t="s">
        <v>528</v>
      </c>
      <c r="E29" s="4" t="s">
        <v>539</v>
      </c>
    </row>
    <row r="30" customFormat="false" ht="17.15" hidden="false" customHeight="false" outlineLevel="0" collapsed="false">
      <c r="A30" s="4" t="s">
        <v>74</v>
      </c>
      <c r="B30" s="4" t="s">
        <v>197</v>
      </c>
      <c r="C30" s="5" t="s">
        <v>94</v>
      </c>
      <c r="D30" s="4" t="s">
        <v>528</v>
      </c>
      <c r="E30" s="4" t="s">
        <v>540</v>
      </c>
    </row>
    <row r="31" customFormat="false" ht="17.15" hidden="false" customHeight="false" outlineLevel="0" collapsed="false">
      <c r="A31" s="4" t="s">
        <v>74</v>
      </c>
      <c r="B31" s="4" t="s">
        <v>259</v>
      </c>
      <c r="C31" s="5" t="s">
        <v>75</v>
      </c>
      <c r="D31" s="4" t="s">
        <v>535</v>
      </c>
      <c r="E31" s="4" t="s">
        <v>521</v>
      </c>
    </row>
    <row r="32" customFormat="false" ht="17.15" hidden="false" customHeight="false" outlineLevel="0" collapsed="false">
      <c r="A32" s="4" t="s">
        <v>132</v>
      </c>
      <c r="B32" s="4" t="s">
        <v>133</v>
      </c>
      <c r="C32" s="5" t="s">
        <v>75</v>
      </c>
      <c r="D32" s="4" t="s">
        <v>529</v>
      </c>
      <c r="E32" s="4" t="s">
        <v>541</v>
      </c>
    </row>
    <row r="33" customFormat="false" ht="17.15" hidden="false" customHeight="false" outlineLevel="0" collapsed="false">
      <c r="A33" s="4" t="s">
        <v>132</v>
      </c>
      <c r="B33" s="4" t="s">
        <v>474</v>
      </c>
      <c r="C33" s="5" t="s">
        <v>94</v>
      </c>
      <c r="D33" s="4" t="s">
        <v>542</v>
      </c>
      <c r="E33" s="4" t="s">
        <v>522</v>
      </c>
    </row>
    <row r="34" customFormat="false" ht="17.15" hidden="false" customHeight="false" outlineLevel="0" collapsed="false">
      <c r="A34" s="4" t="s">
        <v>132</v>
      </c>
      <c r="B34" s="4" t="s">
        <v>477</v>
      </c>
      <c r="C34" s="5" t="s">
        <v>94</v>
      </c>
      <c r="D34" s="4" t="s">
        <v>542</v>
      </c>
      <c r="E34" s="4" t="s">
        <v>527</v>
      </c>
    </row>
    <row r="35" customFormat="false" ht="17.15" hidden="false" customHeight="false" outlineLevel="0" collapsed="false">
      <c r="A35" s="4" t="s">
        <v>132</v>
      </c>
      <c r="B35" s="4" t="s">
        <v>175</v>
      </c>
      <c r="C35" s="5" t="s">
        <v>75</v>
      </c>
      <c r="D35" s="4" t="s">
        <v>529</v>
      </c>
      <c r="E35" s="4" t="s">
        <v>521</v>
      </c>
    </row>
    <row r="36" customFormat="false" ht="17.15" hidden="false" customHeight="false" outlineLevel="0" collapsed="false">
      <c r="A36" s="4" t="s">
        <v>441</v>
      </c>
      <c r="B36" s="4" t="s">
        <v>457</v>
      </c>
      <c r="C36" s="5" t="s">
        <v>75</v>
      </c>
      <c r="D36" s="4" t="s">
        <v>528</v>
      </c>
      <c r="E36" s="4" t="s">
        <v>533</v>
      </c>
    </row>
    <row r="37" customFormat="false" ht="17.15" hidden="false" customHeight="false" outlineLevel="0" collapsed="false">
      <c r="A37" s="4" t="s">
        <v>441</v>
      </c>
      <c r="B37" s="4" t="s">
        <v>474</v>
      </c>
      <c r="C37" s="5" t="s">
        <v>75</v>
      </c>
      <c r="D37" s="4" t="s">
        <v>528</v>
      </c>
      <c r="E37" s="4" t="s">
        <v>529</v>
      </c>
    </row>
    <row r="38" customFormat="false" ht="17.15" hidden="false" customHeight="false" outlineLevel="0" collapsed="false">
      <c r="A38" s="4" t="s">
        <v>104</v>
      </c>
      <c r="B38" s="4" t="s">
        <v>105</v>
      </c>
      <c r="C38" s="5" t="s">
        <v>524</v>
      </c>
      <c r="D38" s="4" t="s">
        <v>543</v>
      </c>
      <c r="E38" s="4" t="s">
        <v>530</v>
      </c>
    </row>
    <row r="39" customFormat="false" ht="17.15" hidden="false" customHeight="false" outlineLevel="0" collapsed="false">
      <c r="A39" s="4" t="s">
        <v>99</v>
      </c>
      <c r="B39" s="4" t="s">
        <v>110</v>
      </c>
      <c r="C39" s="5" t="s">
        <v>94</v>
      </c>
      <c r="D39" s="4" t="s">
        <v>528</v>
      </c>
      <c r="E39" s="4" t="s">
        <v>523</v>
      </c>
    </row>
    <row r="40" customFormat="false" ht="17.15" hidden="false" customHeight="false" outlineLevel="0" collapsed="false">
      <c r="A40" s="4" t="s">
        <v>99</v>
      </c>
      <c r="B40" s="4" t="s">
        <v>512</v>
      </c>
      <c r="C40" s="5" t="s">
        <v>75</v>
      </c>
      <c r="D40" s="4" t="s">
        <v>535</v>
      </c>
      <c r="E40" s="4" t="s">
        <v>521</v>
      </c>
    </row>
    <row r="41" customFormat="false" ht="17.15" hidden="false" customHeight="false" outlineLevel="0" collapsed="false">
      <c r="A41" s="4" t="s">
        <v>105</v>
      </c>
      <c r="B41" s="4" t="s">
        <v>472</v>
      </c>
      <c r="C41" s="5" t="s">
        <v>75</v>
      </c>
      <c r="D41" s="4" t="s">
        <v>534</v>
      </c>
      <c r="E41" s="4" t="s">
        <v>541</v>
      </c>
    </row>
    <row r="42" customFormat="false" ht="17.15" hidden="false" customHeight="false" outlineLevel="0" collapsed="false">
      <c r="A42" s="4" t="s">
        <v>71</v>
      </c>
      <c r="B42" s="4" t="s">
        <v>116</v>
      </c>
      <c r="C42" s="5" t="s">
        <v>94</v>
      </c>
      <c r="D42" s="4" t="s">
        <v>542</v>
      </c>
      <c r="E42" s="4" t="s">
        <v>537</v>
      </c>
    </row>
    <row r="43" customFormat="false" ht="17.15" hidden="false" customHeight="false" outlineLevel="0" collapsed="false">
      <c r="A43" s="4" t="s">
        <v>116</v>
      </c>
      <c r="B43" s="4" t="s">
        <v>505</v>
      </c>
      <c r="C43" s="5" t="s">
        <v>75</v>
      </c>
      <c r="D43" s="4" t="s">
        <v>535</v>
      </c>
      <c r="E43" s="4" t="s">
        <v>538</v>
      </c>
    </row>
    <row r="44" customFormat="false" ht="17.15" hidden="false" customHeight="false" outlineLevel="0" collapsed="false">
      <c r="A44" s="4" t="s">
        <v>81</v>
      </c>
      <c r="B44" s="4" t="s">
        <v>474</v>
      </c>
      <c r="C44" s="5" t="s">
        <v>524</v>
      </c>
      <c r="D44" s="4" t="s">
        <v>536</v>
      </c>
      <c r="E44" s="4" t="s">
        <v>531</v>
      </c>
    </row>
    <row r="45" customFormat="false" ht="17.15" hidden="false" customHeight="false" outlineLevel="0" collapsed="false">
      <c r="A45" s="4" t="s">
        <v>451</v>
      </c>
      <c r="B45" s="4" t="s">
        <v>93</v>
      </c>
      <c r="C45" s="5" t="s">
        <v>94</v>
      </c>
      <c r="D45" s="4" t="s">
        <v>537</v>
      </c>
      <c r="E45" s="4" t="s">
        <v>538</v>
      </c>
    </row>
    <row r="46" customFormat="false" ht="17.15" hidden="false" customHeight="false" outlineLevel="0" collapsed="false">
      <c r="A46" s="4" t="s">
        <v>453</v>
      </c>
      <c r="B46" s="4" t="s">
        <v>170</v>
      </c>
      <c r="C46" s="5" t="s">
        <v>75</v>
      </c>
      <c r="D46" s="4" t="s">
        <v>529</v>
      </c>
      <c r="E46" s="4" t="s">
        <v>533</v>
      </c>
    </row>
    <row r="47" customFormat="false" ht="17.15" hidden="false" customHeight="false" outlineLevel="0" collapsed="false">
      <c r="A47" s="4" t="s">
        <v>454</v>
      </c>
      <c r="B47" s="4" t="s">
        <v>477</v>
      </c>
      <c r="C47" s="5" t="s">
        <v>524</v>
      </c>
      <c r="D47" s="4" t="s">
        <v>525</v>
      </c>
      <c r="E47" s="4" t="s">
        <v>531</v>
      </c>
    </row>
    <row r="48" customFormat="false" ht="17.15" hidden="false" customHeight="false" outlineLevel="0" collapsed="false">
      <c r="A48" s="4" t="s">
        <v>457</v>
      </c>
      <c r="B48" s="4" t="s">
        <v>474</v>
      </c>
      <c r="C48" s="5" t="s">
        <v>75</v>
      </c>
      <c r="D48" s="4" t="s">
        <v>533</v>
      </c>
      <c r="E48" s="4" t="s">
        <v>529</v>
      </c>
    </row>
    <row r="49" customFormat="false" ht="17.15" hidden="false" customHeight="false" outlineLevel="0" collapsed="false">
      <c r="A49" s="4" t="s">
        <v>170</v>
      </c>
      <c r="B49" s="4" t="s">
        <v>272</v>
      </c>
      <c r="C49" s="5" t="s">
        <v>94</v>
      </c>
      <c r="D49" s="4" t="s">
        <v>544</v>
      </c>
      <c r="E49" s="4" t="s">
        <v>542</v>
      </c>
    </row>
    <row r="50" customFormat="false" ht="17.15" hidden="false" customHeight="false" outlineLevel="0" collapsed="false">
      <c r="A50" s="4" t="s">
        <v>170</v>
      </c>
      <c r="B50" s="4" t="s">
        <v>169</v>
      </c>
      <c r="C50" s="5" t="s">
        <v>94</v>
      </c>
      <c r="D50" s="4" t="s">
        <v>544</v>
      </c>
      <c r="E50" s="4" t="s">
        <v>538</v>
      </c>
    </row>
    <row r="51" customFormat="false" ht="17.15" hidden="false" customHeight="false" outlineLevel="0" collapsed="false">
      <c r="A51" s="4" t="s">
        <v>122</v>
      </c>
      <c r="B51" s="4" t="s">
        <v>121</v>
      </c>
      <c r="C51" s="5" t="s">
        <v>94</v>
      </c>
      <c r="D51" s="4" t="s">
        <v>537</v>
      </c>
      <c r="E51" s="4" t="s">
        <v>521</v>
      </c>
    </row>
    <row r="52" customFormat="false" ht="17.15" hidden="false" customHeight="false" outlineLevel="0" collapsed="false">
      <c r="A52" s="4" t="s">
        <v>122</v>
      </c>
      <c r="B52" s="4" t="s">
        <v>133</v>
      </c>
      <c r="C52" s="5" t="s">
        <v>94</v>
      </c>
      <c r="D52" s="4" t="s">
        <v>537</v>
      </c>
      <c r="E52" s="4" t="s">
        <v>542</v>
      </c>
    </row>
    <row r="53" customFormat="false" ht="17.15" hidden="false" customHeight="false" outlineLevel="0" collapsed="false">
      <c r="A53" s="4" t="s">
        <v>121</v>
      </c>
      <c r="B53" s="4" t="s">
        <v>133</v>
      </c>
      <c r="C53" s="5" t="s">
        <v>94</v>
      </c>
      <c r="D53" s="4" t="s">
        <v>521</v>
      </c>
      <c r="E53" s="4" t="s">
        <v>542</v>
      </c>
    </row>
    <row r="54" customFormat="false" ht="17.15" hidden="false" customHeight="false" outlineLevel="0" collapsed="false">
      <c r="A54" s="4" t="s">
        <v>121</v>
      </c>
      <c r="B54" s="4" t="s">
        <v>466</v>
      </c>
      <c r="C54" s="5" t="s">
        <v>75</v>
      </c>
      <c r="D54" s="4" t="s">
        <v>541</v>
      </c>
      <c r="E54" s="4" t="s">
        <v>542</v>
      </c>
    </row>
    <row r="55" customFormat="false" ht="17.15" hidden="false" customHeight="false" outlineLevel="0" collapsed="false">
      <c r="A55" s="4" t="s">
        <v>133</v>
      </c>
      <c r="B55" s="4" t="s">
        <v>175</v>
      </c>
      <c r="C55" s="5" t="s">
        <v>75</v>
      </c>
      <c r="D55" s="4" t="s">
        <v>541</v>
      </c>
      <c r="E55" s="4" t="s">
        <v>521</v>
      </c>
    </row>
    <row r="56" customFormat="false" ht="17.15" hidden="false" customHeight="false" outlineLevel="0" collapsed="false">
      <c r="A56" s="4" t="s">
        <v>463</v>
      </c>
      <c r="B56" s="4" t="s">
        <v>465</v>
      </c>
      <c r="C56" s="5" t="s">
        <v>94</v>
      </c>
      <c r="D56" s="4" t="s">
        <v>527</v>
      </c>
      <c r="E56" s="4" t="s">
        <v>528</v>
      </c>
    </row>
    <row r="57" customFormat="false" ht="17.15" hidden="false" customHeight="false" outlineLevel="0" collapsed="false">
      <c r="A57" s="4" t="s">
        <v>466</v>
      </c>
      <c r="B57" s="4" t="s">
        <v>476</v>
      </c>
      <c r="C57" s="5" t="s">
        <v>94</v>
      </c>
      <c r="D57" s="4" t="s">
        <v>521</v>
      </c>
      <c r="E57" s="4" t="s">
        <v>523</v>
      </c>
    </row>
    <row r="58" customFormat="false" ht="17.15" hidden="false" customHeight="false" outlineLevel="0" collapsed="false">
      <c r="A58" s="4" t="s">
        <v>272</v>
      </c>
      <c r="B58" s="4" t="s">
        <v>169</v>
      </c>
      <c r="C58" s="5" t="s">
        <v>94</v>
      </c>
      <c r="D58" s="4" t="s">
        <v>542</v>
      </c>
      <c r="E58" s="4" t="s">
        <v>538</v>
      </c>
    </row>
    <row r="59" customFormat="false" ht="17.15" hidden="false" customHeight="false" outlineLevel="0" collapsed="false">
      <c r="A59" s="4" t="s">
        <v>465</v>
      </c>
      <c r="B59" s="4" t="s">
        <v>503</v>
      </c>
      <c r="C59" s="5" t="s">
        <v>75</v>
      </c>
      <c r="D59" s="4" t="s">
        <v>533</v>
      </c>
      <c r="E59" s="4" t="s">
        <v>538</v>
      </c>
    </row>
    <row r="60" customFormat="false" ht="17.15" hidden="false" customHeight="false" outlineLevel="0" collapsed="false">
      <c r="A60" s="4" t="s">
        <v>474</v>
      </c>
      <c r="B60" s="4" t="s">
        <v>477</v>
      </c>
      <c r="C60" s="5" t="s">
        <v>94</v>
      </c>
      <c r="D60" s="4" t="s">
        <v>522</v>
      </c>
      <c r="E60" s="4" t="s">
        <v>527</v>
      </c>
    </row>
    <row r="61" customFormat="false" ht="17.15" hidden="false" customHeight="false" outlineLevel="0" collapsed="false">
      <c r="A61" s="4" t="s">
        <v>477</v>
      </c>
      <c r="B61" s="4" t="s">
        <v>124</v>
      </c>
      <c r="C61" s="5" t="s">
        <v>75</v>
      </c>
      <c r="D61" s="4" t="s">
        <v>529</v>
      </c>
      <c r="E61" s="4" t="s">
        <v>538</v>
      </c>
    </row>
    <row r="62" customFormat="false" ht="17.15" hidden="false" customHeight="false" outlineLevel="0" collapsed="false">
      <c r="A62" s="4" t="s">
        <v>138</v>
      </c>
      <c r="B62" s="4" t="s">
        <v>139</v>
      </c>
      <c r="C62" s="5" t="s">
        <v>524</v>
      </c>
      <c r="D62" s="4" t="s">
        <v>533</v>
      </c>
      <c r="E62" s="4" t="s">
        <v>537</v>
      </c>
    </row>
    <row r="63" customFormat="false" ht="17.15" hidden="false" customHeight="false" outlineLevel="0" collapsed="false">
      <c r="A63" s="4" t="s">
        <v>107</v>
      </c>
      <c r="B63" s="4" t="s">
        <v>145</v>
      </c>
      <c r="C63" s="5" t="s">
        <v>94</v>
      </c>
      <c r="D63" s="4" t="s">
        <v>522</v>
      </c>
      <c r="E63" s="4" t="s">
        <v>469</v>
      </c>
    </row>
    <row r="64" customFormat="false" ht="17.15" hidden="false" customHeight="false" outlineLevel="0" collapsed="false">
      <c r="A64" s="4" t="s">
        <v>483</v>
      </c>
      <c r="B64" s="4" t="s">
        <v>484</v>
      </c>
      <c r="C64" s="5" t="s">
        <v>94</v>
      </c>
      <c r="D64" s="4" t="s">
        <v>521</v>
      </c>
      <c r="E64" s="4" t="s">
        <v>532</v>
      </c>
    </row>
    <row r="65" customFormat="false" ht="17.15" hidden="false" customHeight="false" outlineLevel="0" collapsed="false">
      <c r="A65" s="4" t="s">
        <v>152</v>
      </c>
      <c r="B65" s="4" t="s">
        <v>151</v>
      </c>
      <c r="C65" s="5" t="s">
        <v>75</v>
      </c>
      <c r="D65" s="4" t="s">
        <v>523</v>
      </c>
      <c r="E65" s="4" t="s">
        <v>541</v>
      </c>
    </row>
    <row r="66" customFormat="false" ht="17.15" hidden="false" customHeight="false" outlineLevel="0" collapsed="false">
      <c r="A66" s="4" t="s">
        <v>165</v>
      </c>
      <c r="B66" s="4" t="s">
        <v>164</v>
      </c>
      <c r="C66" s="5" t="s">
        <v>524</v>
      </c>
      <c r="D66" s="4" t="s">
        <v>530</v>
      </c>
      <c r="E66" s="4" t="s">
        <v>531</v>
      </c>
    </row>
    <row r="67" customFormat="false" ht="17.15" hidden="false" customHeight="false" outlineLevel="0" collapsed="false">
      <c r="A67" s="4" t="s">
        <v>492</v>
      </c>
      <c r="B67" s="4" t="s">
        <v>275</v>
      </c>
      <c r="C67" s="5" t="s">
        <v>94</v>
      </c>
      <c r="D67" s="4" t="s">
        <v>528</v>
      </c>
      <c r="E67" s="4" t="s">
        <v>540</v>
      </c>
    </row>
    <row r="68" customFormat="false" ht="17.15" hidden="false" customHeight="false" outlineLevel="0" collapsed="false">
      <c r="A68" s="4" t="s">
        <v>93</v>
      </c>
      <c r="B68" s="4" t="s">
        <v>169</v>
      </c>
      <c r="C68" s="5" t="s">
        <v>75</v>
      </c>
      <c r="D68" s="4" t="s">
        <v>532</v>
      </c>
      <c r="E68" s="4" t="s">
        <v>533</v>
      </c>
    </row>
    <row r="69" customFormat="false" ht="17.15" hidden="false" customHeight="false" outlineLevel="0" collapsed="false">
      <c r="A69" s="4" t="s">
        <v>196</v>
      </c>
      <c r="B69" s="4" t="s">
        <v>197</v>
      </c>
      <c r="C69" s="5" t="s">
        <v>94</v>
      </c>
      <c r="D69" s="4" t="s">
        <v>539</v>
      </c>
      <c r="E69" s="4" t="s">
        <v>540</v>
      </c>
    </row>
    <row r="70" customFormat="false" ht="17.15" hidden="false" customHeight="false" outlineLevel="0" collapsed="false">
      <c r="A70" s="4" t="s">
        <v>507</v>
      </c>
      <c r="B70" s="4" t="s">
        <v>259</v>
      </c>
      <c r="C70" s="5" t="s">
        <v>94</v>
      </c>
      <c r="D70" s="4" t="s">
        <v>533</v>
      </c>
      <c r="E70" s="4" t="s">
        <v>528</v>
      </c>
    </row>
    <row r="71" customFormat="false" ht="17.15" hidden="false" customHeight="false" outlineLevel="0" collapsed="false">
      <c r="A71" s="4" t="s">
        <v>507</v>
      </c>
      <c r="B71" s="4" t="s">
        <v>175</v>
      </c>
      <c r="C71" s="5" t="s">
        <v>94</v>
      </c>
      <c r="D71" s="4" t="s">
        <v>533</v>
      </c>
      <c r="E71" s="4" t="s">
        <v>542</v>
      </c>
    </row>
    <row r="72" customFormat="false" ht="17.15" hidden="false" customHeight="false" outlineLevel="0" collapsed="false">
      <c r="A72" s="4" t="s">
        <v>507</v>
      </c>
      <c r="B72" s="4" t="s">
        <v>179</v>
      </c>
      <c r="C72" s="5" t="s">
        <v>524</v>
      </c>
      <c r="D72" s="4" t="s">
        <v>531</v>
      </c>
      <c r="E72" s="4" t="s">
        <v>536</v>
      </c>
    </row>
    <row r="73" customFormat="false" ht="17.15" hidden="false" customHeight="false" outlineLevel="0" collapsed="false">
      <c r="A73" s="4" t="s">
        <v>259</v>
      </c>
      <c r="B73" s="4" t="s">
        <v>175</v>
      </c>
      <c r="C73" s="5" t="s">
        <v>94</v>
      </c>
      <c r="D73" s="4" t="s">
        <v>528</v>
      </c>
      <c r="E73" s="4" t="s">
        <v>542</v>
      </c>
    </row>
    <row r="74" customFormat="false" ht="17.15" hidden="false" customHeight="false" outlineLevel="0" collapsed="false">
      <c r="A74" s="4" t="s">
        <v>259</v>
      </c>
      <c r="B74" s="4" t="s">
        <v>512</v>
      </c>
      <c r="C74" s="5" t="s">
        <v>524</v>
      </c>
      <c r="D74" s="4" t="s">
        <v>531</v>
      </c>
      <c r="E74" s="4" t="s">
        <v>525</v>
      </c>
    </row>
    <row r="75" customFormat="false" ht="17.15" hidden="false" customHeight="false" outlineLevel="0" collapsed="false">
      <c r="A75" s="4" t="s">
        <v>83</v>
      </c>
      <c r="B75" s="4" t="s">
        <v>175</v>
      </c>
      <c r="C75" s="5" t="s">
        <v>524</v>
      </c>
      <c r="D75" s="4" t="s">
        <v>536</v>
      </c>
      <c r="E75" s="4" t="s">
        <v>531</v>
      </c>
    </row>
    <row r="76" customFormat="false" ht="17.15" hidden="false" customHeight="false" outlineLevel="0" collapsed="false">
      <c r="A76" s="4" t="s">
        <v>83</v>
      </c>
      <c r="B76" s="4" t="s">
        <v>179</v>
      </c>
      <c r="C76" s="5" t="s">
        <v>94</v>
      </c>
      <c r="D76" s="4" t="s">
        <v>542</v>
      </c>
      <c r="E76" s="4" t="s">
        <v>533</v>
      </c>
    </row>
    <row r="77" customFormat="false" ht="17.15" hidden="false" customHeight="false" outlineLevel="0" collapsed="false">
      <c r="A77" s="4" t="s">
        <v>191</v>
      </c>
      <c r="B77" s="4" t="s">
        <v>190</v>
      </c>
      <c r="C77" s="5" t="s">
        <v>94</v>
      </c>
      <c r="D77" s="4" t="s">
        <v>521</v>
      </c>
      <c r="E77" s="4" t="s">
        <v>529</v>
      </c>
    </row>
    <row r="79" customFormat="false" ht="17.15" hidden="false" customHeight="false" outlineLevel="0" collapsed="false">
      <c r="A79" s="2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20"/>
  </cols>
  <sheetData>
    <row r="1" customFormat="false" ht="17.15" hidden="false" customHeight="false" outlineLevel="0" collapsed="false">
      <c r="A1" s="3" t="s">
        <v>546</v>
      </c>
      <c r="B1" s="3" t="s">
        <v>291</v>
      </c>
      <c r="C1" s="3" t="s">
        <v>547</v>
      </c>
    </row>
    <row r="2" customFormat="false" ht="17.15" hidden="false" customHeight="false" outlineLevel="0" collapsed="false">
      <c r="A2" s="4" t="s">
        <v>548</v>
      </c>
      <c r="B2" s="5" t="s">
        <v>549</v>
      </c>
      <c r="C2" s="4" t="s">
        <v>550</v>
      </c>
    </row>
    <row r="3" customFormat="false" ht="17.15" hidden="false" customHeight="false" outlineLevel="0" collapsed="false">
      <c r="A3" s="4" t="s">
        <v>551</v>
      </c>
      <c r="B3" s="5" t="s">
        <v>552</v>
      </c>
      <c r="C3" s="4" t="s">
        <v>553</v>
      </c>
    </row>
    <row r="4" customFormat="false" ht="17.15" hidden="false" customHeight="false" outlineLevel="0" collapsed="false">
      <c r="A4" s="4" t="s">
        <v>554</v>
      </c>
      <c r="B4" s="5" t="s">
        <v>54</v>
      </c>
      <c r="C4" s="4" t="s">
        <v>103</v>
      </c>
    </row>
    <row r="5" customFormat="false" ht="17.15" hidden="false" customHeight="false" outlineLevel="0" collapsed="false">
      <c r="A5" s="4" t="s">
        <v>555</v>
      </c>
      <c r="B5" s="5" t="s">
        <v>556</v>
      </c>
      <c r="C5" s="4" t="s">
        <v>105</v>
      </c>
    </row>
    <row r="6" customFormat="false" ht="17.15" hidden="false" customHeight="false" outlineLevel="0" collapsed="false">
      <c r="A6" s="4" t="s">
        <v>557</v>
      </c>
      <c r="B6" s="5" t="s">
        <v>558</v>
      </c>
      <c r="C6" s="5" t="n">
        <v>0</v>
      </c>
    </row>
    <row r="7" customFormat="false" ht="17.15" hidden="false" customHeight="false" outlineLevel="0" collapsed="false">
      <c r="A7" s="4" t="s">
        <v>559</v>
      </c>
      <c r="B7" s="4" t="s">
        <v>560</v>
      </c>
      <c r="C7" s="5" t="s">
        <v>561</v>
      </c>
    </row>
    <row r="8" customFormat="false" ht="17.15" hidden="false" customHeight="false" outlineLevel="0" collapsed="false">
      <c r="A8" s="4" t="s">
        <v>562</v>
      </c>
      <c r="B8" s="5" t="s">
        <v>563</v>
      </c>
      <c r="C8" s="5" t="n">
        <v>2140</v>
      </c>
    </row>
    <row r="9" customFormat="false" ht="17.15" hidden="false" customHeight="false" outlineLevel="0" collapsed="false">
      <c r="A9" s="4" t="s">
        <v>564</v>
      </c>
      <c r="B9" s="5" t="s">
        <v>565</v>
      </c>
      <c r="C9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2026-10-02T23:51:07Z</dcterms:created>
  <dc:creator>openpyxl</dc:creator>
  <dc:description/>
  <dc:language>en-US</dc:language>
  <cp:lastModifiedBy/>
  <dcterms:modified xsi:type="dcterms:W3CDTF">2026-10-02T23:51:07Z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